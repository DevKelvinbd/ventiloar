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tação de Contas" sheetId="1" r:id="rId4"/>
    <sheet state="visible" name="Mês a Mês" sheetId="2" r:id="rId5"/>
    <sheet state="visible" name="Fornecedores" sheetId="3" r:id="rId6"/>
    <sheet state="visible" name="Tarifas Bancárias" sheetId="4" r:id="rId7"/>
    <sheet state="visible" name="Extrato Classificado" sheetId="5" r:id="rId8"/>
  </sheets>
  <definedNames/>
  <calcPr/>
  <extLst>
    <ext uri="GoogleSheetsCustomDataVersion2">
      <go:sheetsCustomData xmlns:go="http://customooxmlschemas.google.com/" r:id="rId9" roundtripDataChecksum="n1hY/xqymeb7X1A9U5Acrqpton88Onsn99cwUQjdmfY="/>
    </ext>
  </extLst>
</workbook>
</file>

<file path=xl/sharedStrings.xml><?xml version="1.0" encoding="utf-8"?>
<sst xmlns="http://schemas.openxmlformats.org/spreadsheetml/2006/main" count="758" uniqueCount="282">
  <si>
    <t>PRESTAÇÃO DE CONTAS — RESUMO FINANCEIRO</t>
  </si>
  <si>
    <t>PROJETAÇÃO EMPREENDIMENTOS LTDA | CNPJ: 047.950.352/0001-71</t>
  </si>
  <si>
    <t>Período: 07/07/2025 a 04/04/2026 | Bradesco Ag 687 CC 0037844-5</t>
  </si>
  <si>
    <t>ENTRADAS DE RECURSOS EXTERNOS</t>
  </si>
  <si>
    <t>Origem</t>
  </si>
  <si>
    <t>Data</t>
  </si>
  <si>
    <t>Valor (R$)</t>
  </si>
  <si>
    <t>Observação</t>
  </si>
  <si>
    <t>FUNCAP (TED)</t>
  </si>
  <si>
    <t>26/09/2025</t>
  </si>
  <si>
    <t>1ª TED — convênio/projeto</t>
  </si>
  <si>
    <t>2ª TED — convênio/projeto</t>
  </si>
  <si>
    <t>Francisco V Alves (PIX)</t>
  </si>
  <si>
    <t>08/08/2025</t>
  </si>
  <si>
    <t>Reposição de tarifa bancária</t>
  </si>
  <si>
    <t>19/08/2025</t>
  </si>
  <si>
    <t>Entrada de recurso externo</t>
  </si>
  <si>
    <t>TOTAL DE ENTRADAS EXTERNAS</t>
  </si>
  <si>
    <t>RENDIMENTOS DA CONTA (juros sobre o dinheiro investido)</t>
  </si>
  <si>
    <t>Tipo de Rendimento</t>
  </si>
  <si>
    <t>Rendimento do CDB</t>
  </si>
  <si>
    <t>Juros sobre o dinheiro aplicado em CDB</t>
  </si>
  <si>
    <t>Rendimento Invest Fácil (CC)</t>
  </si>
  <si>
    <t>Juros creditados na CC diariamente</t>
  </si>
  <si>
    <t>TOTAL DE RENDIMENTOS</t>
  </si>
  <si>
    <t>SAÍDAS DE RECURSOS (gastos reais)</t>
  </si>
  <si>
    <t>Tipo de Gasto</t>
  </si>
  <si>
    <t>Total (R$)</t>
  </si>
  <si>
    <t>% do Total</t>
  </si>
  <si>
    <t>Fornecedores e Prestadores</t>
  </si>
  <si>
    <t>Pagamentos via PIX a fornecedores</t>
  </si>
  <si>
    <t>Boletos / Cobranças</t>
  </si>
  <si>
    <t>Passagens, fretes, etc.</t>
  </si>
  <si>
    <t>Impostos — Receita Federal</t>
  </si>
  <si>
    <t>DARF / tributos federais</t>
  </si>
  <si>
    <t>Impostos — SEFAZ</t>
  </si>
  <si>
    <t>Secretaria da Fazenda estadual</t>
  </si>
  <si>
    <t>Tarifas Bancárias</t>
  </si>
  <si>
    <t>Custo de manutenção da conta</t>
  </si>
  <si>
    <t>Encargos / IOF</t>
  </si>
  <si>
    <t>Juros e IOF sobre limite</t>
  </si>
  <si>
    <t>TOTAL DE SAÍDAS REAIS</t>
  </si>
  <si>
    <t>TRANSAÇÕES ANULADAS (não entram no cálculo)</t>
  </si>
  <si>
    <t>Descrição</t>
  </si>
  <si>
    <t>Motivo</t>
  </si>
  <si>
    <t>PIX para Andre Luiz De Araujo</t>
  </si>
  <si>
    <t>09/02/2026</t>
  </si>
  <si>
    <t>Enviado e devolvido</t>
  </si>
  <si>
    <t>Devolução PIX de Andre Luiz De Araujo</t>
  </si>
  <si>
    <t>Devolvido — anula o envio</t>
  </si>
  <si>
    <t>SALDO LÍQUIDO DAS ANULAÇÕES</t>
  </si>
  <si>
    <t>Efeito zero — não conta</t>
  </si>
  <si>
    <t>CONCILIAÇÃO (de onde veio → pra onde foi)</t>
  </si>
  <si>
    <t>Item</t>
  </si>
  <si>
    <t>(+) Entradas externas (FUNCAP + Francisco)</t>
  </si>
  <si>
    <t>(+) Rendimento Invest Fácil (CC)</t>
  </si>
  <si>
    <t>(+) Rendimento do CDB (juros acumulados)</t>
  </si>
  <si>
    <t>(−) Pagamentos a fornecedores/prestadores</t>
  </si>
  <si>
    <t>(−) Boletos e cobranças</t>
  </si>
  <si>
    <t>(−) Impostos e tributos</t>
  </si>
  <si>
    <t>(−) Tarifas bancárias</t>
  </si>
  <si>
    <t>(−) Encargos / IOF</t>
  </si>
  <si>
    <t>SALDO CALCULADO</t>
  </si>
  <si>
    <t>SALDO REAL NA CONTA</t>
  </si>
  <si>
    <t>RESUMO FINAL</t>
  </si>
  <si>
    <t>Entrou de fora:     R$   261,072.30  (FUNCAP R$ 253,508.90 + Francisco R$ 7,563.40)</t>
  </si>
  <si>
    <t>Rendeu de juros:    R$     6,141.09  (CDB R$ 6,128.65 + Invest Fácil R$ 12.44)</t>
  </si>
  <si>
    <t>Total gasto:        R$   237,103.57  (fornecedores + impostos + tarifas + boletos)</t>
  </si>
  <si>
    <t>Anulações:          R$    13.000,00  PIX Andre Luiz (ida e volta = efeito zero)</t>
  </si>
  <si>
    <t>Sobrou disponível:  R$    30,109.82  (CC + CDB investido)</t>
  </si>
  <si>
    <t>Obs: Resgates/aplicações de CDB = movimentação interna (não são entradas nem saídas reais).</t>
  </si>
  <si>
    <t>MOVIMENTAÇÃO MENSAL (apenas dinheiro real — sem CDB)</t>
  </si>
  <si>
    <t>Mês</t>
  </si>
  <si>
    <t>Entradas Externas</t>
  </si>
  <si>
    <t>Fornecedores</t>
  </si>
  <si>
    <t>Impostos</t>
  </si>
  <si>
    <t>Tarifas</t>
  </si>
  <si>
    <t>Boletos</t>
  </si>
  <si>
    <t>Rendim. CC</t>
  </si>
  <si>
    <t>Ago/2025</t>
  </si>
  <si>
    <t>Set/2025</t>
  </si>
  <si>
    <t>Out/2025</t>
  </si>
  <si>
    <t>Nov/2025</t>
  </si>
  <si>
    <t>Dez/2025</t>
  </si>
  <si>
    <t>Jan/2026</t>
  </si>
  <si>
    <t>Fev/2026</t>
  </si>
  <si>
    <t>Mar/2026</t>
  </si>
  <si>
    <t>Abr/2026</t>
  </si>
  <si>
    <t>TOTAL</t>
  </si>
  <si>
    <t>PAGAMENTOS POR FORNECEDOR / PRESTADOR</t>
  </si>
  <si>
    <t>Obs: PIX de R$ 13.000 para Andre Luiz (09/02) excluído — foi devolvido no mesmo dia.</t>
  </si>
  <si>
    <t>#</t>
  </si>
  <si>
    <t>Fornecedor / Prestador</t>
  </si>
  <si>
    <t>Total Pago (R$)</t>
  </si>
  <si>
    <t>Qtd.</t>
  </si>
  <si>
    <t>STATUS</t>
  </si>
  <si>
    <t>DANSKE</t>
  </si>
  <si>
    <t>OK</t>
  </si>
  <si>
    <t>APIGUANA</t>
  </si>
  <si>
    <t>ANDRE LUIZ DE ARAUJO</t>
  </si>
  <si>
    <t>TETOS CASA &amp; CONSTRUÇÃO</t>
  </si>
  <si>
    <t>SMART TEC / SMART KITS</t>
  </si>
  <si>
    <t>MAXIMIZE INDÚSTRIA</t>
  </si>
  <si>
    <t>12P LTDA</t>
  </si>
  <si>
    <t>FRANCISCO VALDEVAN ALVES</t>
  </si>
  <si>
    <t>KALATEC AUTOMAÇÃO</t>
  </si>
  <si>
    <t>A.F. COMÉRCIO DE PEÇAS</t>
  </si>
  <si>
    <t>S.FLEX</t>
  </si>
  <si>
    <t>GUSTAVO (CPF 63.316.064)</t>
  </si>
  <si>
    <t>STEPHAN COMÉRCIO VAREJISTA</t>
  </si>
  <si>
    <t>F.A.M MÁQUINAS E FERRAMENTAS</t>
  </si>
  <si>
    <t>KMC MÓVEIS DE AÇO</t>
  </si>
  <si>
    <t>F.E TECNOLOGIA LTDA</t>
  </si>
  <si>
    <t>D.K FERRAMENTAS</t>
  </si>
  <si>
    <t>SPG COM. DE GASES</t>
  </si>
  <si>
    <t>GMAD FORTALEZA</t>
  </si>
  <si>
    <t>MAMEDE MÓVEIS PROJETADOS</t>
  </si>
  <si>
    <t>GRANJTEC INDÚSTRIA</t>
  </si>
  <si>
    <t>GURGELMIX MÁQUINAS</t>
  </si>
  <si>
    <t>GUTIERRE CAMPOS SOARES</t>
  </si>
  <si>
    <t>ESTRUTURAL</t>
  </si>
  <si>
    <t>LUCC INDÚSTRIA E COM.</t>
  </si>
  <si>
    <t>BEACH BIKE ATACADO</t>
  </si>
  <si>
    <t>CASA DA SEMENTE</t>
  </si>
  <si>
    <t>ILUMINAR AUDIO E MUSIC</t>
  </si>
  <si>
    <t>VALLE INDÚSTRIA E COM.</t>
  </si>
  <si>
    <t>FIXOTRAVAS COMÉRCIO</t>
  </si>
  <si>
    <t>TECNOFERRAMENTAS</t>
  </si>
  <si>
    <t>HORÁCIO AUTOPEÇAS</t>
  </si>
  <si>
    <t>GOOGLE CLOUD BRASIL</t>
  </si>
  <si>
    <t>CUSTOS BANCÁRIOS DETALHADOS</t>
  </si>
  <si>
    <t>Tipo de Tarifa</t>
  </si>
  <si>
    <t>Qtd. Cobranças</t>
  </si>
  <si>
    <t>% do Custo</t>
  </si>
  <si>
    <t>Pacote Mensal</t>
  </si>
  <si>
    <t>PIX Enviado</t>
  </si>
  <si>
    <t>Cheque Empresarial</t>
  </si>
  <si>
    <t>Cartão Débito</t>
  </si>
  <si>
    <t>Extrato</t>
  </si>
  <si>
    <t>EXTRATO COMPLETO — CADA TRANSAÇÃO CLASSIFICADA</t>
  </si>
  <si>
    <t>Lançamento</t>
  </si>
  <si>
    <t>Categoria</t>
  </si>
  <si>
    <t>Crédito (R$)</t>
  </si>
  <si>
    <t>Débito (R$)</t>
  </si>
  <si>
    <t>Saldo (R$)</t>
  </si>
  <si>
    <t>Destinatário</t>
  </si>
  <si>
    <t>TARIFA BANCARIA MANUT CARTAO DEBITO</t>
  </si>
  <si>
    <t>Tarifa — Cartão Débito</t>
  </si>
  <si>
    <t>TRANSFERENCIA PIX REM: FRANCISCO V ALVES DIA 08/08</t>
  </si>
  <si>
    <t>✅ Entrada Externa (Francisco V Alves)</t>
  </si>
  <si>
    <t>FRANCISCO V ALVES</t>
  </si>
  <si>
    <t>TRANSFERENCIA PIX REM: FRANCISCO V ALVES DIA 19/08</t>
  </si>
  <si>
    <t>TARIFA EMISSAO EXTRATO EXTRATOmes(E) JURIDICA</t>
  </si>
  <si>
    <t>Tarifa — Extrato</t>
  </si>
  <si>
    <t>RENTAB.INVEST FACILCRED*</t>
  </si>
  <si>
    <t>Rendimento de Investimento</t>
  </si>
  <si>
    <t>TARIFA BANCARIA CESTA RECEBAFACIL</t>
  </si>
  <si>
    <t>Tarifa — Pacote Mensal</t>
  </si>
  <si>
    <t>ENCARGOS LIMITE DE CRED ENCARGO - 15,84%</t>
  </si>
  <si>
    <t>Encargos/IOF</t>
  </si>
  <si>
    <t>IOF S/ UTILIZACAO LIMITE</t>
  </si>
  <si>
    <t>TARIFA BANCARIA CHEQ EMPRESARIAL</t>
  </si>
  <si>
    <t>Tarifa — Cheque Empresarial</t>
  </si>
  <si>
    <t>TED-TRANSF ELET DISPON REMET.FUNCAP</t>
  </si>
  <si>
    <t>✅ Entrada Externa (FUNCAP)</t>
  </si>
  <si>
    <t>FUNCAP</t>
  </si>
  <si>
    <t>TRANSFERENCIA PIX DES: KALATEC AUTOMACAO     29/09</t>
  </si>
  <si>
    <t>Pagamento a Fornecedor/Prestador</t>
  </si>
  <si>
    <t>KALATEC AUTOMACAO</t>
  </si>
  <si>
    <t>TARIFA BANCARIA TRANSF PGTO PIX</t>
  </si>
  <si>
    <t>Tarifa — PIX Enviado</t>
  </si>
  <si>
    <t>APLICACAO CDB</t>
  </si>
  <si>
    <t>Movimentação Interna (Aplicação CDB)</t>
  </si>
  <si>
    <t>TRANSFERENCIA PIX DES: FRANCISCO VALDEVAN AL 02/10</t>
  </si>
  <si>
    <t>FRANCISCO VALDEVAN AL</t>
  </si>
  <si>
    <t>RESG/VENCTO CDB</t>
  </si>
  <si>
    <t>Movimentação Interna (Resgate CDB)</t>
  </si>
  <si>
    <t>PIX QR CODE ESTATICO DES: 12P LTDA              06/10</t>
  </si>
  <si>
    <t>PIX QR CODE DINAMICO DES: GOOGLE CLOUD BRASIL C 04/10</t>
  </si>
  <si>
    <t>GOOGLE CLOUD BRASIL C</t>
  </si>
  <si>
    <t>TRANSFERENCIA PIX DES: MAMEDE MOVEIS PROJETA 07/10</t>
  </si>
  <si>
    <t>MAMEDE MOVEIS PROJETA</t>
  </si>
  <si>
    <t>PIX QR CODE DINAMICO DES: HORACIO AUTOPECAS LTD 07/10</t>
  </si>
  <si>
    <t>HORACIO AUTOPECAS LTD</t>
  </si>
  <si>
    <t>TRANSFERENCIA PIX DES: FRANCISCO VALDEVAN AL 09/10</t>
  </si>
  <si>
    <t>TRANSFERENCIA PIX DES: FRANCISCO VALDEVAN AL 11/10</t>
  </si>
  <si>
    <t>TRANSFERENCIA PIX DES: APIGUANA              15/10</t>
  </si>
  <si>
    <t>TRANSFERENCIA PIX DES: FRANCISCO VALDEVAN AL 15/10</t>
  </si>
  <si>
    <t>TRANSFERENCIA PIX DES: APIGUANA              17/10</t>
  </si>
  <si>
    <t>TRANSFERENCIA PIX DES: F A M MAQUINAS E FERR 18/10</t>
  </si>
  <si>
    <t>F A M MAQUINAS E FERR</t>
  </si>
  <si>
    <t>TRANSFERENCIA PIX DES: F A M MAQUINAS E FERR 21/10</t>
  </si>
  <si>
    <t>PIX QR CODE ESTATICO DES: CASA DA SEMENTE       24/10</t>
  </si>
  <si>
    <t>TRANSFERENCIA PIX DES: 63.316.064 GUSTAVO CU 27/10</t>
  </si>
  <si>
    <t>63.316.064 GUSTAVO CU</t>
  </si>
  <si>
    <t>TRANSFERENCIA PIX DES: STEPHAN COMERCIO VARE 28/10</t>
  </si>
  <si>
    <t>STEPHAN COMERCIO VARE</t>
  </si>
  <si>
    <t>TRANSFERENCIA PIX DES: D.K FERRAMENTAS E EQU 28/10</t>
  </si>
  <si>
    <t>D.K FERRAMENTAS E EQU</t>
  </si>
  <si>
    <t>TRANSFERENCIA PIX DES: TECNOFERRAMENTAS COME 30/10</t>
  </si>
  <si>
    <t>TECNOFERRAMENTAS COME</t>
  </si>
  <si>
    <t>TRANSFERENCIA PIX DES: ILUMINAR AUDIO MUSIC  30/10</t>
  </si>
  <si>
    <t>ILUMINAR AUDIO MUSIC</t>
  </si>
  <si>
    <t>TRANSFERENCIA PIX DES: S.FLEX                31/10</t>
  </si>
  <si>
    <t>TRANSFERENCIA PIX DES: FRANCISCO VALDEVAN AL 31/10</t>
  </si>
  <si>
    <t>TRANSFERENCIA PIX DES: 43.594.026 ANDRE LUIZ 05/11</t>
  </si>
  <si>
    <t>43.594.026 ANDRE LUIZ</t>
  </si>
  <si>
    <t>TRANSFERENCIA PIX DES: MAXIMIZE INDUSTRIA    10/11</t>
  </si>
  <si>
    <t>MAXIMIZE INDUSTRIA</t>
  </si>
  <si>
    <t>PAGTO ELETRON  COBRANCA PASSAGENS E DESLOCAMENTO 002</t>
  </si>
  <si>
    <t>Pagamento de Boleto</t>
  </si>
  <si>
    <t>PAGTO ELETRONICO TRIBUTO INTERNET --RECEITA FEDERAL/SP</t>
  </si>
  <si>
    <t>Imposto (Receita Federal)</t>
  </si>
  <si>
    <t>TRANSFERENCIA PIX DES: FRANCISCO VALDEVAN AL 26/11</t>
  </si>
  <si>
    <t>TRANSFERENCIA PIX DES: DANSKE                28/11</t>
  </si>
  <si>
    <t>TRANSFERENCIA PIX DES: KALATEC AUTOMACAO     01/12</t>
  </si>
  <si>
    <t>TRANSFERENCIA PIX DES: GRANJTEC INDUSTRIA E  02/12</t>
  </si>
  <si>
    <t>GRANJTEC INDUSTRIA E</t>
  </si>
  <si>
    <t>TRANSFERENCIA PIX DES: TETOS CASA &amp; CONSTRUC 05/12</t>
  </si>
  <si>
    <t>TETOS CASA &amp; CONSTRUC</t>
  </si>
  <si>
    <t>TRANSFERENCIA PIX DES: FRANCISCO VALDEVAN AL 26/12</t>
  </si>
  <si>
    <t>TRANSFERENCIA PIX DES: FRANCISCO VALDEVAN AL 28/12</t>
  </si>
  <si>
    <t>TRANSFERENCIA PIX DES: GMAD FORTALEZA        05/01</t>
  </si>
  <si>
    <t>PIX QR CODE DINAMICO DES: GURGELMIX MAQUI       05/01</t>
  </si>
  <si>
    <t>GURGELMIX MAQUI</t>
  </si>
  <si>
    <t>TRANSFERENCIA PIX DES: GMAD FORTALEZA        06/01</t>
  </si>
  <si>
    <t>TRANSFERENCIA PIX DES: LUCC INDUSTRIA E COME 06/01</t>
  </si>
  <si>
    <t>LUCC INDUSTRIA E COME</t>
  </si>
  <si>
    <t>TRANSFERENCIA PIX DES: FRANCISCO VALDEVAN AL 09/01</t>
  </si>
  <si>
    <t>TRANSFERENCIA PIX DES: FRANCISCO VALDEVAN AL 14/01</t>
  </si>
  <si>
    <t>PIX QR CODE DINAMICO DES: RECEITA FEDERAL       15/01</t>
  </si>
  <si>
    <t>RECEITA FEDERAL</t>
  </si>
  <si>
    <t>TRANSFERENCIA PIX DES: GUTIERRE CAMPOS SOARE 16/01</t>
  </si>
  <si>
    <t>GUTIERRE CAMPOS SOARE</t>
  </si>
  <si>
    <t>TRANSFERENCIA PIX DES: TETOS CASA &amp; CONSTRUC 17/01</t>
  </si>
  <si>
    <t>TRANSFERENCIA PIX DES: SMART KITS            20/01</t>
  </si>
  <si>
    <t>SMART KITS</t>
  </si>
  <si>
    <t>TRANSFERENCIA PIX DES: ESTRUTURAL            23/01</t>
  </si>
  <si>
    <t>TRANSFERENCIA PIX DES: VALLE INDUSTRIA E COM 26/01</t>
  </si>
  <si>
    <t>VALLE INDUSTRIA E COM</t>
  </si>
  <si>
    <t>TRANSFERENCIA PIX DES: KMC MOVEIS DE ACO     26/01</t>
  </si>
  <si>
    <t>KMC MOVEIS DE ACO</t>
  </si>
  <si>
    <t>TRANSFERENCIA PIX DES: 63.316.064 GUSTAVO CU 27/01</t>
  </si>
  <si>
    <t>TRANSFERENCIA PIX DES: FRANCISCO VALDEVAN AL 28/01</t>
  </si>
  <si>
    <t>PIX QR CODE ESTATICO DES: SMART-TEC ELETRO      28/01</t>
  </si>
  <si>
    <t>SMART-TEC ELETRO</t>
  </si>
  <si>
    <t>TRANSFERENCIA PIX DES: SMART TEC ELETRO      29/01</t>
  </si>
  <si>
    <t>SMART TEC ELETRO</t>
  </si>
  <si>
    <t>TRANSFERENCIA PIX DES: FRANCISCO VALDEVAN AL 30/01</t>
  </si>
  <si>
    <t>PIX QR CODE DINAMICO DES: SECRETARIA DA FAZENDA 02/02</t>
  </si>
  <si>
    <t>Imposto (SEFAZ)</t>
  </si>
  <si>
    <t>SECRETARIA DA FAZENDA</t>
  </si>
  <si>
    <t>TRANSFERENCIA PIX DES: DANSKE                06/02</t>
  </si>
  <si>
    <t>DEVOLUCAO PIX REM: Andre Luiz De Araujo  09/02</t>
  </si>
  <si>
    <t>Anulada (PIX devolvido — não conta)</t>
  </si>
  <si>
    <t>TRANSFERENCIA PIX DES: Andre Luiz De Araujo  09/02</t>
  </si>
  <si>
    <t>Andre Luiz De Araujo</t>
  </si>
  <si>
    <t>TRANSFERENCIA PIX DES: A. F. COMERCIO DE PEC 10/02</t>
  </si>
  <si>
    <t>A. F. COMERCIO DE PEC</t>
  </si>
  <si>
    <t>TRANSFERENCIA PIX DES: A. F. COMERCIO DE PEC 11/02</t>
  </si>
  <si>
    <t>PIX QR CODE DINAMICO DES: RECEITA FEDERAL       12/02</t>
  </si>
  <si>
    <t>PIX QR CODE DINAMICO DES: SECRETARIA DA FAZENDA 19/02</t>
  </si>
  <si>
    <t>TRANSFERENCIA PIX DES: S.FLEX                23/02</t>
  </si>
  <si>
    <t>TRANSFERENCIA PIX DES: SMART TEC ELETRO      24/02</t>
  </si>
  <si>
    <t>TRANSFERENCIA PIX DES: FRANCISCO VALDEVAN AL 24/02</t>
  </si>
  <si>
    <t>TRANSFERENCIA PIX DES: FIXOTRAVAS COMERCIO D 27/02</t>
  </si>
  <si>
    <t>FIXOTRAVAS COMERCIO D</t>
  </si>
  <si>
    <t>PIX QR CODE DINAMICO DES: SECRETARIA DA FAZENDA 02/03</t>
  </si>
  <si>
    <t>TRANSFERENCIA PIX DES: FRANCISCO VALDEVAN AL 10/03</t>
  </si>
  <si>
    <t>PIX QR CODE ESTATICO DES: SMART KITS            11/03</t>
  </si>
  <si>
    <t>PAGTO ELETRON  COBRANCA FRETE DOS CABOS SUPERFLEX</t>
  </si>
  <si>
    <t>PIX QR CODE DINAMICO DES: SECRETARIA DA FAZENDA 13/03</t>
  </si>
  <si>
    <t>PIX QR CODE DINAMICO DES: RECEITA FEDERAL       16/03</t>
  </si>
  <si>
    <t>TRANSFERENCIA PIX DES: BEACH BIKE ATACADO    16/03</t>
  </si>
  <si>
    <t>TRANSFERENCIA PIX DES: MAXIMIZE INDUSTRIA    17/03</t>
  </si>
  <si>
    <t>TRANSFERENCIA PIX DES: SPG COMERCIO DE GASES 23/03</t>
  </si>
  <si>
    <t>SPG COMERCIO DE GASES</t>
  </si>
  <si>
    <t>TRANSFERENCIA PIX DES: KALATEC AUTOMACAO     26/03</t>
  </si>
  <si>
    <t>TRANSFERENCIA PIX DES: A. F. COMERCIO DE PEC 30/03</t>
  </si>
  <si>
    <t>RESG AUTOMATICO INVESTIM</t>
  </si>
  <si>
    <t>PIX QR CODE ESTATICO DES: F E TECNOLOGIA LTDA   02/04</t>
  </si>
  <si>
    <t>F E TECNOLOGIA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</si>
</sst>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[$R$ -416]#,##0.00"/>
    <numFmt numFmtId="166" formatCode="dd/MM/yyyy"/>
  </numFmts>
  <fonts count="22">
    <font>
      <sz val="11.0"/>
      <color theme="1"/>
      <name val="Calibri"/>
      <scheme val="minor"/>
    </font>
    <font>
      <b/>
      <sz val="14.0"/>
      <color rgb="FF1B3A5C"/>
      <name val="Arial"/>
    </font>
    <font>
      <sz val="9.0"/>
      <color rgb="FF666666"/>
      <name val="Arial"/>
    </font>
    <font>
      <b/>
      <sz val="12.0"/>
      <color rgb="FF1B3A5C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1B7A2B"/>
      <name val="Arial"/>
    </font>
    <font>
      <sz val="11.0"/>
      <color theme="1"/>
      <name val="Calibri"/>
    </font>
    <font>
      <b/>
      <sz val="11.0"/>
      <color rgb="FFFFFFFF"/>
      <name val="Arial"/>
    </font>
    <font>
      <b/>
      <sz val="11.0"/>
      <color rgb="FFB71C1C"/>
      <name val="Arial"/>
    </font>
    <font>
      <sz val="10.0"/>
      <color rgb="FFB71C1C"/>
      <name val="Arial"/>
    </font>
    <font>
      <sz val="10.0"/>
      <color rgb="FF1B7A2B"/>
      <name val="Arial"/>
    </font>
    <font>
      <i/>
      <sz val="9.0"/>
      <color rgb="FF666666"/>
      <name val="Arial"/>
    </font>
    <font>
      <b/>
      <sz val="12.0"/>
      <color rgb="FF1B7A2B"/>
      <name val="Arial"/>
    </font>
    <font>
      <b/>
      <sz val="10.0"/>
      <color rgb="FF333333"/>
      <name val="Consolas"/>
    </font>
    <font>
      <i/>
      <sz val="10.0"/>
      <color rgb="FF666666"/>
      <name val="Arial"/>
    </font>
    <font>
      <i/>
      <sz val="9.0"/>
      <color rgb="FFB71C1C"/>
      <name val="Arial"/>
    </font>
    <font>
      <color theme="1"/>
      <name val="Calibri"/>
      <scheme val="minor"/>
    </font>
    <font>
      <b/>
      <sz val="8.0"/>
      <color theme="1"/>
      <name val="Arial"/>
    </font>
    <font>
      <strike/>
      <sz val="10.0"/>
      <color rgb="FF999999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1B3A5C"/>
        <bgColor rgb="FF1B3A5C"/>
      </patternFill>
    </fill>
    <fill>
      <patternFill patternType="solid">
        <fgColor rgb="FF1B7A2B"/>
        <bgColor rgb="FF1B7A2B"/>
      </patternFill>
    </fill>
    <fill>
      <patternFill patternType="solid">
        <fgColor rgb="FFE3F2FD"/>
        <bgColor rgb="FFE3F2FD"/>
      </patternFill>
    </fill>
    <fill>
      <patternFill patternType="solid">
        <fgColor rgb="FF2C5F8A"/>
        <bgColor rgb="FF2C5F8A"/>
      </patternFill>
    </fill>
    <fill>
      <patternFill patternType="solid">
        <fgColor rgb="FFFFEBEE"/>
        <bgColor rgb="FFFFEBEE"/>
      </patternFill>
    </fill>
    <fill>
      <patternFill patternType="solid">
        <fgColor rgb="FFB71C1C"/>
        <bgColor rgb="FFB71C1C"/>
      </patternFill>
    </fill>
    <fill>
      <patternFill patternType="solid">
        <fgColor rgb="FFF5F5F5"/>
        <bgColor rgb="FFF5F5F5"/>
      </patternFill>
    </fill>
    <fill>
      <patternFill patternType="solid">
        <fgColor rgb="FFFFF9E6"/>
        <bgColor rgb="FFFFF9E6"/>
      </patternFill>
    </fill>
    <fill>
      <patternFill patternType="solid">
        <fgColor rgb="FFFFF3E0"/>
        <bgColor rgb="FFFFF3E0"/>
      </patternFill>
    </fill>
    <fill>
      <patternFill patternType="solid">
        <fgColor rgb="FFC8E6C9"/>
        <bgColor rgb="FFC8E6C9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FFFCE4EC"/>
        <bgColor rgb="FFFCE4E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double">
        <color rgb="FF1B3A5C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Border="1" applyFill="1" applyFont="1"/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vertical="center"/>
    </xf>
    <xf borderId="4" fillId="0" fontId="6" numFmtId="0" xfId="0" applyBorder="1" applyFont="1"/>
    <xf borderId="4" fillId="0" fontId="7" numFmtId="0" xfId="0" applyAlignment="1" applyBorder="1" applyFont="1">
      <alignment horizontal="center" vertical="center"/>
    </xf>
    <xf borderId="4" fillId="0" fontId="8" numFmtId="4" xfId="0" applyBorder="1" applyFont="1" applyNumberFormat="1"/>
    <xf borderId="4" fillId="0" fontId="2" numFmtId="0" xfId="0" applyBorder="1" applyFont="1"/>
    <xf borderId="4" fillId="4" fontId="5" numFmtId="0" xfId="0" applyBorder="1" applyFill="1" applyFont="1"/>
    <xf borderId="4" fillId="4" fontId="9" numFmtId="0" xfId="0" applyBorder="1" applyFont="1"/>
    <xf borderId="4" fillId="4" fontId="10" numFmtId="4" xfId="0" applyBorder="1" applyFont="1" applyNumberFormat="1"/>
    <xf borderId="1" fillId="5" fontId="3" numFmtId="0" xfId="0" applyBorder="1" applyFill="1" applyFont="1"/>
    <xf borderId="4" fillId="0" fontId="9" numFmtId="0" xfId="0" applyBorder="1" applyFont="1"/>
    <xf borderId="4" fillId="6" fontId="5" numFmtId="0" xfId="0" applyBorder="1" applyFill="1" applyFont="1"/>
    <xf borderId="4" fillId="6" fontId="10" numFmtId="4" xfId="0" applyBorder="1" applyFont="1" applyNumberFormat="1"/>
    <xf borderId="4" fillId="6" fontId="9" numFmtId="0" xfId="0" applyBorder="1" applyFont="1"/>
    <xf borderId="1" fillId="7" fontId="3" numFmtId="0" xfId="0" applyBorder="1" applyFill="1" applyFont="1"/>
    <xf borderId="4" fillId="0" fontId="11" numFmtId="4" xfId="0" applyBorder="1" applyFont="1" applyNumberFormat="1"/>
    <xf borderId="4" fillId="0" fontId="7" numFmtId="164" xfId="0" applyAlignment="1" applyBorder="1" applyFont="1" applyNumberFormat="1">
      <alignment horizontal="center" vertical="center"/>
    </xf>
    <xf borderId="4" fillId="8" fontId="5" numFmtId="0" xfId="0" applyBorder="1" applyFill="1" applyFont="1"/>
    <xf borderId="4" fillId="8" fontId="10" numFmtId="4" xfId="0" applyBorder="1" applyFont="1" applyNumberFormat="1"/>
    <xf borderId="4" fillId="8" fontId="9" numFmtId="0" xfId="0" applyBorder="1" applyFont="1"/>
    <xf borderId="1" fillId="9" fontId="3" numFmtId="0" xfId="0" applyBorder="1" applyFill="1" applyFont="1"/>
    <xf borderId="4" fillId="0" fontId="7" numFmtId="0" xfId="0" applyBorder="1" applyFont="1"/>
    <xf borderId="4" fillId="0" fontId="12" numFmtId="4" xfId="0" applyBorder="1" applyFont="1" applyNumberFormat="1"/>
    <xf borderId="4" fillId="0" fontId="13" numFmtId="4" xfId="0" applyBorder="1" applyFont="1" applyNumberFormat="1"/>
    <xf borderId="4" fillId="9" fontId="6" numFmtId="0" xfId="0" applyBorder="1" applyFont="1"/>
    <xf borderId="4" fillId="9" fontId="9" numFmtId="0" xfId="0" applyBorder="1" applyFont="1"/>
    <xf borderId="4" fillId="9" fontId="6" numFmtId="4" xfId="0" applyBorder="1" applyFont="1" applyNumberFormat="1"/>
    <xf borderId="4" fillId="9" fontId="14" numFmtId="0" xfId="0" applyBorder="1" applyFont="1"/>
    <xf borderId="5" fillId="0" fontId="9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4" xfId="0" applyBorder="1" applyFont="1" applyNumberFormat="1"/>
    <xf borderId="4" fillId="2" fontId="15" numFmtId="0" xfId="0" applyAlignment="1" applyBorder="1" applyFont="1">
      <alignment readingOrder="0"/>
    </xf>
    <xf borderId="4" fillId="2" fontId="15" numFmtId="4" xfId="0" applyBorder="1" applyFont="1" applyNumberFormat="1"/>
    <xf borderId="1" fillId="10" fontId="3" numFmtId="0" xfId="0" applyBorder="1" applyFill="1" applyFont="1"/>
    <xf borderId="0" fillId="0" fontId="16" numFmtId="0" xfId="0" applyFont="1"/>
    <xf borderId="0" fillId="0" fontId="17" numFmtId="0" xfId="0" applyFont="1"/>
    <xf borderId="4" fillId="0" fontId="6" numFmtId="0" xfId="0" applyAlignment="1" applyBorder="1" applyFont="1">
      <alignment horizontal="center" vertical="center"/>
    </xf>
    <xf borderId="4" fillId="0" fontId="8" numFmtId="4" xfId="0" applyAlignment="1" applyBorder="1" applyFont="1" applyNumberFormat="1">
      <alignment horizontal="right" vertical="center"/>
    </xf>
    <xf borderId="4" fillId="0" fontId="12" numFmtId="4" xfId="0" applyAlignment="1" applyBorder="1" applyFont="1" applyNumberFormat="1">
      <alignment horizontal="right" vertical="center"/>
    </xf>
    <xf borderId="4" fillId="0" fontId="13" numFmtId="4" xfId="0" applyAlignment="1" applyBorder="1" applyFont="1" applyNumberFormat="1">
      <alignment horizontal="right" vertical="center"/>
    </xf>
    <xf borderId="4" fillId="3" fontId="5" numFmtId="0" xfId="0" applyBorder="1" applyFont="1"/>
    <xf borderId="4" fillId="3" fontId="5" numFmtId="4" xfId="0" applyBorder="1" applyFont="1" applyNumberFormat="1"/>
    <xf borderId="0" fillId="0" fontId="18" numFmtId="0" xfId="0" applyFont="1"/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10" fontId="6" numFmtId="0" xfId="0" applyAlignment="1" applyBorder="1" applyFont="1">
      <alignment shrinkToFit="0" vertical="center" wrapText="0"/>
    </xf>
    <xf borderId="4" fillId="0" fontId="12" numFmtId="4" xfId="0" applyAlignment="1" applyBorder="1" applyFont="1" applyNumberFormat="1">
      <alignment shrinkToFit="0" vertical="center" wrapText="0"/>
    </xf>
    <xf borderId="4" fillId="0" fontId="7" numFmtId="164" xfId="0" applyAlignment="1" applyBorder="1" applyFont="1" applyNumberForma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4" fillId="3" fontId="5" numFmtId="165" xfId="0" applyAlignment="1" applyBorder="1" applyFont="1" applyNumberFormat="1">
      <alignment shrinkToFit="0" vertical="center" wrapText="0"/>
    </xf>
    <xf borderId="4" fillId="3" fontId="9" numFmtId="0" xfId="0" applyBorder="1" applyFont="1"/>
    <xf borderId="4" fillId="0" fontId="7" numFmtId="166" xfId="0" applyAlignment="1" applyBorder="1" applyFont="1" applyNumberFormat="1">
      <alignment shrinkToFit="0" vertical="center" wrapText="0"/>
    </xf>
    <xf borderId="4" fillId="0" fontId="7" numFmtId="0" xfId="0" applyAlignment="1" applyBorder="1" applyFont="1">
      <alignment shrinkToFit="0" vertical="center" wrapText="1"/>
    </xf>
    <xf borderId="4" fillId="11" fontId="20" numFmtId="0" xfId="0" applyAlignment="1" applyBorder="1" applyFill="1" applyFont="1">
      <alignment horizontal="center" shrinkToFit="0" vertical="center" wrapText="0"/>
    </xf>
    <xf borderId="4" fillId="0" fontId="13" numFmtId="4" xfId="0" applyAlignment="1" applyBorder="1" applyFont="1" applyNumberFormat="1">
      <alignment shrinkToFit="0" vertical="center" wrapText="0"/>
    </xf>
    <xf borderId="4" fillId="0" fontId="7" numFmtId="4" xfId="0" applyAlignment="1" applyBorder="1" applyFont="1" applyNumberForma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12" fontId="20" numFmtId="0" xfId="0" applyAlignment="1" applyBorder="1" applyFill="1" applyFont="1">
      <alignment horizontal="center" shrinkToFit="0" vertical="center" wrapText="0"/>
    </xf>
    <xf borderId="4" fillId="13" fontId="20" numFmtId="0" xfId="0" applyAlignment="1" applyBorder="1" applyFill="1" applyFont="1">
      <alignment horizontal="center" shrinkToFit="0" vertical="center" wrapText="0"/>
    </xf>
    <xf borderId="4" fillId="14" fontId="20" numFmtId="0" xfId="0" applyAlignment="1" applyBorder="1" applyFill="1" applyFont="1">
      <alignment horizontal="center" shrinkToFit="0" vertical="center" wrapText="0"/>
    </xf>
    <xf borderId="4" fillId="7" fontId="20" numFmtId="0" xfId="0" applyAlignment="1" applyBorder="1" applyFont="1">
      <alignment horizontal="center" shrinkToFit="0" vertical="center" wrapText="0"/>
    </xf>
    <xf borderId="4" fillId="5" fontId="20" numFmtId="0" xfId="0" applyAlignment="1" applyBorder="1" applyFont="1">
      <alignment horizontal="center" shrinkToFit="0" vertical="center" wrapText="0"/>
    </xf>
    <xf borderId="4" fillId="15" fontId="20" numFmtId="0" xfId="0" applyAlignment="1" applyBorder="1" applyFill="1" applyFont="1">
      <alignment horizontal="center" shrinkToFit="0" vertical="center" wrapText="0"/>
    </xf>
    <xf borderId="4" fillId="0" fontId="21" numFmtId="166" xfId="0" applyAlignment="1" applyBorder="1" applyFont="1" applyNumberFormat="1">
      <alignment shrinkToFit="0" vertical="center" wrapText="0"/>
    </xf>
    <xf borderId="4" fillId="0" fontId="21" numFmtId="0" xfId="0" applyAlignment="1" applyBorder="1" applyFont="1">
      <alignment shrinkToFit="0" vertical="center" wrapText="1"/>
    </xf>
    <xf borderId="4" fillId="9" fontId="20" numFmtId="0" xfId="0" applyAlignment="1" applyBorder="1" applyFont="1">
      <alignment horizontal="center" shrinkToFit="0" vertical="center" wrapText="0"/>
    </xf>
    <xf borderId="4" fillId="14" fontId="12" numFmtId="4" xfId="0" applyAlignment="1" applyBorder="1" applyFont="1" applyNumberFormat="1">
      <alignment shrinkToFit="0" vertical="center" wrapText="0"/>
    </xf>
    <xf borderId="4" fillId="14" fontId="7" numFmtId="4" xfId="0" applyAlignment="1" applyBorder="1" applyFont="1" applyNumberFormat="1">
      <alignment shrinkToFit="0" vertical="center" wrapText="0"/>
    </xf>
    <xf borderId="4" fillId="14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Fornecedore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Extrato Classificado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4:F38" displayName="Tabela_2" name="Tabela_2" id="1">
  <tableColumns count="6">
    <tableColumn name="#" id="1"/>
    <tableColumn totalsRowLabel="TOTAL" name="Fornecedor / Prestador" id="2"/>
    <tableColumn totalsRowFunction="custom" name="Total Pago (R$)" id="3"/>
    <tableColumn name="Qtd." id="4"/>
    <tableColumn name="% do Total" id="5"/>
    <tableColumn name="STATUS" id="6"/>
  </tableColumns>
  <tableStyleInfo name="Fornecedores-style" showColumnStripes="0" showFirstColumn="1" showLastColumn="1" showRowStripes="1"/>
</table>
</file>

<file path=xl/tables/table2.xml><?xml version="1.0" encoding="utf-8"?>
<table xmlns="http://schemas.openxmlformats.org/spreadsheetml/2006/main" ref="A3:G248" displayName="Tabela_1" name="Tabela_1" id="2">
  <tableColumns count="7">
    <tableColumn name="Data" id="1"/>
    <tableColumn name="Lançamento" id="2"/>
    <tableColumn name="Categoria" id="3"/>
    <tableColumn name="Crédito (R$)" id="4"/>
    <tableColumn name="Débito (R$)" id="5"/>
    <tableColumn name="Saldo (R$)" id="6"/>
    <tableColumn name="Destinatário" id="7"/>
  </tableColumns>
  <tableStyleInfo name="Extrato Classific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2.0"/>
    <col customWidth="1" min="3" max="3" width="16.57"/>
    <col customWidth="1" min="4" max="4" width="35.0"/>
    <col customWidth="1" min="5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4"/>
      <c r="C5" s="4"/>
      <c r="D5" s="5"/>
    </row>
    <row r="7">
      <c r="A7" s="6" t="s">
        <v>4</v>
      </c>
      <c r="B7" s="6" t="s">
        <v>5</v>
      </c>
      <c r="C7" s="6" t="s">
        <v>6</v>
      </c>
      <c r="D7" s="6" t="s">
        <v>7</v>
      </c>
    </row>
    <row r="8">
      <c r="A8" s="7" t="s">
        <v>8</v>
      </c>
      <c r="B8" s="8" t="s">
        <v>9</v>
      </c>
      <c r="C8" s="9">
        <v>169005.93</v>
      </c>
      <c r="D8" s="10" t="s">
        <v>10</v>
      </c>
    </row>
    <row r="9">
      <c r="A9" s="7" t="s">
        <v>8</v>
      </c>
      <c r="B9" s="8" t="s">
        <v>9</v>
      </c>
      <c r="C9" s="9">
        <v>84502.97</v>
      </c>
      <c r="D9" s="10" t="s">
        <v>11</v>
      </c>
    </row>
    <row r="10">
      <c r="A10" s="7" t="s">
        <v>12</v>
      </c>
      <c r="B10" s="8" t="s">
        <v>13</v>
      </c>
      <c r="C10" s="9">
        <v>13.4</v>
      </c>
      <c r="D10" s="10" t="s">
        <v>14</v>
      </c>
    </row>
    <row r="11">
      <c r="A11" s="7" t="s">
        <v>12</v>
      </c>
      <c r="B11" s="8" t="s">
        <v>15</v>
      </c>
      <c r="C11" s="9">
        <v>7550.0</v>
      </c>
      <c r="D11" s="10" t="s">
        <v>16</v>
      </c>
    </row>
    <row r="12">
      <c r="A12" s="11" t="s">
        <v>17</v>
      </c>
      <c r="B12" s="12"/>
      <c r="C12" s="13">
        <f>SUM(C8:C11)</f>
        <v>261072.3</v>
      </c>
      <c r="D12" s="12"/>
    </row>
    <row r="14">
      <c r="A14" s="14" t="s">
        <v>18</v>
      </c>
      <c r="B14" s="4"/>
      <c r="C14" s="4"/>
      <c r="D14" s="5"/>
    </row>
    <row r="16">
      <c r="A16" s="6" t="s">
        <v>19</v>
      </c>
      <c r="B16" s="6" t="s">
        <v>6</v>
      </c>
      <c r="C16" s="6"/>
      <c r="D16" s="6" t="s">
        <v>7</v>
      </c>
    </row>
    <row r="17">
      <c r="A17" s="7" t="s">
        <v>20</v>
      </c>
      <c r="B17" s="9">
        <v>6128.650000000016</v>
      </c>
      <c r="C17" s="15"/>
      <c r="D17" s="10" t="s">
        <v>21</v>
      </c>
    </row>
    <row r="18">
      <c r="A18" s="7" t="s">
        <v>22</v>
      </c>
      <c r="B18" s="9">
        <v>12.44</v>
      </c>
      <c r="C18" s="15"/>
      <c r="D18" s="10" t="s">
        <v>23</v>
      </c>
    </row>
    <row r="19">
      <c r="A19" s="16" t="s">
        <v>24</v>
      </c>
      <c r="B19" s="17">
        <f>SUM(B17:B18)</f>
        <v>6141.09</v>
      </c>
      <c r="C19" s="18"/>
      <c r="D19" s="18"/>
    </row>
    <row r="21" ht="15.75" customHeight="1">
      <c r="A21" s="19" t="s">
        <v>25</v>
      </c>
      <c r="B21" s="4"/>
      <c r="C21" s="4"/>
      <c r="D21" s="5"/>
    </row>
    <row r="22" ht="15.75" customHeight="1"/>
    <row r="23" ht="15.75" customHeight="1">
      <c r="A23" s="6" t="s">
        <v>26</v>
      </c>
      <c r="B23" s="6" t="s">
        <v>27</v>
      </c>
      <c r="C23" s="6" t="s">
        <v>28</v>
      </c>
      <c r="D23" s="6" t="s">
        <v>7</v>
      </c>
    </row>
    <row r="24" ht="15.75" customHeight="1">
      <c r="A24" s="7" t="s">
        <v>29</v>
      </c>
      <c r="B24" s="20">
        <v>228571.97</v>
      </c>
      <c r="C24" s="21">
        <v>0.9640174123063604</v>
      </c>
      <c r="D24" s="10" t="s">
        <v>30</v>
      </c>
    </row>
    <row r="25" ht="15.75" customHeight="1">
      <c r="A25" s="7" t="s">
        <v>31</v>
      </c>
      <c r="B25" s="20">
        <v>693.02</v>
      </c>
      <c r="C25" s="21">
        <v>0.002922857719940699</v>
      </c>
      <c r="D25" s="10" t="s">
        <v>32</v>
      </c>
    </row>
    <row r="26" ht="15.75" customHeight="1">
      <c r="A26" s="7" t="s">
        <v>33</v>
      </c>
      <c r="B26" s="20">
        <v>4199.75</v>
      </c>
      <c r="C26" s="21">
        <v>0.01771272360007064</v>
      </c>
      <c r="D26" s="10" t="s">
        <v>34</v>
      </c>
    </row>
    <row r="27" ht="15.75" customHeight="1">
      <c r="A27" s="7" t="s">
        <v>35</v>
      </c>
      <c r="B27" s="20">
        <v>2088.2</v>
      </c>
      <c r="C27" s="21">
        <v>0.008807121714784809</v>
      </c>
      <c r="D27" s="10" t="s">
        <v>36</v>
      </c>
    </row>
    <row r="28" ht="15.75" customHeight="1">
      <c r="A28" s="7" t="s">
        <v>37</v>
      </c>
      <c r="B28" s="20">
        <v>1550.51</v>
      </c>
      <c r="C28" s="21">
        <v>0.006539378550900773</v>
      </c>
      <c r="D28" s="10" t="s">
        <v>38</v>
      </c>
    </row>
    <row r="29" ht="15.75" customHeight="1">
      <c r="A29" s="7" t="s">
        <v>39</v>
      </c>
      <c r="B29" s="20">
        <v>0.12</v>
      </c>
      <c r="C29" s="21">
        <v>5.061079426176502E-7</v>
      </c>
      <c r="D29" s="10" t="s">
        <v>40</v>
      </c>
    </row>
    <row r="30" ht="15.75" customHeight="1">
      <c r="A30" s="22" t="s">
        <v>41</v>
      </c>
      <c r="B30" s="23">
        <f>SUM(B24:B29)</f>
        <v>237103.57</v>
      </c>
      <c r="C30" s="24"/>
      <c r="D30" s="24"/>
    </row>
    <row r="31" ht="15.75" customHeight="1"/>
    <row r="32" ht="15.75" customHeight="1">
      <c r="A32" s="25" t="s">
        <v>42</v>
      </c>
      <c r="B32" s="4"/>
      <c r="C32" s="4"/>
      <c r="D32" s="5"/>
    </row>
    <row r="33" ht="15.75" customHeight="1"/>
    <row r="34" ht="15.75" customHeight="1">
      <c r="A34" s="6" t="s">
        <v>43</v>
      </c>
      <c r="B34" s="6" t="s">
        <v>5</v>
      </c>
      <c r="C34" s="6" t="s">
        <v>6</v>
      </c>
      <c r="D34" s="6" t="s">
        <v>44</v>
      </c>
    </row>
    <row r="35" ht="15.75" customHeight="1">
      <c r="A35" s="26" t="s">
        <v>45</v>
      </c>
      <c r="B35" s="8" t="s">
        <v>46</v>
      </c>
      <c r="C35" s="27">
        <v>-13000.0</v>
      </c>
      <c r="D35" s="10" t="s">
        <v>47</v>
      </c>
    </row>
    <row r="36" ht="15.75" customHeight="1">
      <c r="A36" s="26" t="s">
        <v>48</v>
      </c>
      <c r="B36" s="8" t="s">
        <v>46</v>
      </c>
      <c r="C36" s="28">
        <v>13000.0</v>
      </c>
      <c r="D36" s="10" t="s">
        <v>49</v>
      </c>
    </row>
    <row r="37" ht="15.75" customHeight="1">
      <c r="A37" s="29" t="s">
        <v>50</v>
      </c>
      <c r="B37" s="30"/>
      <c r="C37" s="31">
        <v>0.0</v>
      </c>
      <c r="D37" s="32" t="s">
        <v>51</v>
      </c>
    </row>
    <row r="38" ht="15.75" customHeight="1"/>
    <row r="39" ht="15.75" customHeight="1">
      <c r="A39" s="14" t="s">
        <v>52</v>
      </c>
      <c r="B39" s="4"/>
      <c r="C39" s="4"/>
      <c r="D39" s="5"/>
    </row>
    <row r="40" ht="15.75" customHeight="1"/>
    <row r="41" ht="15.75" customHeight="1">
      <c r="A41" s="6" t="s">
        <v>53</v>
      </c>
      <c r="B41" s="6" t="s">
        <v>6</v>
      </c>
      <c r="C41" s="6"/>
      <c r="D41" s="6"/>
    </row>
    <row r="42" ht="15.75" customHeight="1">
      <c r="A42" s="7" t="s">
        <v>54</v>
      </c>
      <c r="B42" s="9">
        <v>261072.3</v>
      </c>
    </row>
    <row r="43" ht="15.75" customHeight="1">
      <c r="A43" s="7" t="s">
        <v>55</v>
      </c>
      <c r="B43" s="28">
        <v>12.44</v>
      </c>
    </row>
    <row r="44" ht="15.75" customHeight="1">
      <c r="A44" s="7" t="s">
        <v>56</v>
      </c>
      <c r="B44" s="9">
        <v>6128.650000000016</v>
      </c>
    </row>
    <row r="45" ht="15.75" customHeight="1">
      <c r="A45" s="26"/>
      <c r="B45" s="15"/>
    </row>
    <row r="46" ht="15.75" customHeight="1">
      <c r="A46" s="7" t="s">
        <v>57</v>
      </c>
      <c r="B46" s="20">
        <v>-228571.97</v>
      </c>
    </row>
    <row r="47" ht="15.75" customHeight="1">
      <c r="A47" s="7" t="s">
        <v>58</v>
      </c>
      <c r="B47" s="27">
        <v>-693.02</v>
      </c>
    </row>
    <row r="48" ht="15.75" customHeight="1">
      <c r="A48" s="7" t="s">
        <v>59</v>
      </c>
      <c r="B48" s="27">
        <v>-6287.95</v>
      </c>
    </row>
    <row r="49" ht="15.75" customHeight="1">
      <c r="A49" s="7" t="s">
        <v>60</v>
      </c>
      <c r="B49" s="27">
        <v>-1550.51</v>
      </c>
    </row>
    <row r="50" ht="15.75" customHeight="1">
      <c r="A50" s="7" t="s">
        <v>61</v>
      </c>
      <c r="B50" s="27">
        <v>-0.12</v>
      </c>
    </row>
    <row r="51" ht="15.75" customHeight="1">
      <c r="A51" s="33"/>
      <c r="B51" s="33"/>
    </row>
    <row r="52" ht="15.75" customHeight="1">
      <c r="A52" s="34" t="s">
        <v>62</v>
      </c>
      <c r="B52" s="35">
        <f>SUM(B42:B43)+SUM(B46:B50)</f>
        <v>23981.17</v>
      </c>
    </row>
    <row r="53" ht="15.75" customHeight="1">
      <c r="A53" s="36" t="s">
        <v>63</v>
      </c>
      <c r="B53" s="37">
        <f>B52+B44</f>
        <v>30109.82</v>
      </c>
    </row>
    <row r="54" ht="15.75" customHeight="1"/>
    <row r="55" ht="15.75" customHeight="1">
      <c r="A55" s="38" t="s">
        <v>64</v>
      </c>
      <c r="B55" s="4"/>
      <c r="C55" s="4"/>
      <c r="D55" s="5"/>
    </row>
    <row r="56" ht="15.75" customHeight="1">
      <c r="A56" s="39" t="s">
        <v>65</v>
      </c>
    </row>
    <row r="57" ht="15.75" customHeight="1">
      <c r="A57" s="39" t="s">
        <v>66</v>
      </c>
    </row>
    <row r="58" ht="15.75" customHeight="1">
      <c r="A58" s="39" t="s">
        <v>67</v>
      </c>
    </row>
    <row r="59" ht="15.75" customHeight="1">
      <c r="A59" s="39" t="s">
        <v>68</v>
      </c>
    </row>
    <row r="60" ht="15.75" customHeight="1">
      <c r="A60" s="39" t="s">
        <v>69</v>
      </c>
    </row>
    <row r="61" ht="15.75" customHeight="1"/>
    <row r="62" ht="15.75" customHeight="1">
      <c r="A62" s="40" t="s">
        <v>70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39:D39"/>
    <mergeCell ref="A55:D55"/>
    <mergeCell ref="A1:D1"/>
    <mergeCell ref="A2:D2"/>
    <mergeCell ref="A3:D3"/>
    <mergeCell ref="A5:D5"/>
    <mergeCell ref="A14:D14"/>
    <mergeCell ref="A21:D21"/>
    <mergeCell ref="A32:D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5F8A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8.0"/>
    <col customWidth="1" min="4" max="7" width="16.0"/>
    <col customWidth="1" min="8" max="26" width="8.71"/>
  </cols>
  <sheetData>
    <row r="1">
      <c r="A1" s="1" t="s">
        <v>71</v>
      </c>
    </row>
    <row r="3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</row>
    <row r="4">
      <c r="A4" s="41" t="s">
        <v>79</v>
      </c>
      <c r="B4" s="42">
        <v>7563.4</v>
      </c>
      <c r="C4" s="43"/>
      <c r="D4" s="43"/>
      <c r="E4" s="43">
        <v>16.5</v>
      </c>
      <c r="F4" s="43"/>
      <c r="G4" s="44"/>
    </row>
    <row r="5">
      <c r="A5" s="41" t="s">
        <v>80</v>
      </c>
      <c r="B5" s="42">
        <v>253508.9</v>
      </c>
      <c r="C5" s="43">
        <v>1101.12</v>
      </c>
      <c r="D5" s="43"/>
      <c r="E5" s="43">
        <v>180.4</v>
      </c>
      <c r="F5" s="43"/>
      <c r="G5" s="44">
        <v>0.7300000000000001</v>
      </c>
    </row>
    <row r="6">
      <c r="A6" s="41" t="s">
        <v>81</v>
      </c>
      <c r="B6" s="42"/>
      <c r="C6" s="43">
        <v>64001.42</v>
      </c>
      <c r="D6" s="43"/>
      <c r="E6" s="43">
        <v>183.0000000000001</v>
      </c>
      <c r="F6" s="43"/>
      <c r="G6" s="44">
        <v>11.7</v>
      </c>
    </row>
    <row r="7">
      <c r="A7" s="41" t="s">
        <v>82</v>
      </c>
      <c r="B7" s="42"/>
      <c r="C7" s="43">
        <v>46826.5</v>
      </c>
      <c r="D7" s="43">
        <v>166.98</v>
      </c>
      <c r="E7" s="43">
        <v>258.15</v>
      </c>
      <c r="F7" s="43">
        <v>338.33</v>
      </c>
      <c r="G7" s="44"/>
    </row>
    <row r="8">
      <c r="A8" s="41" t="s">
        <v>83</v>
      </c>
      <c r="B8" s="42"/>
      <c r="C8" s="43">
        <v>17004.2</v>
      </c>
      <c r="D8" s="43">
        <v>166.98</v>
      </c>
      <c r="E8" s="43">
        <v>122.8</v>
      </c>
      <c r="F8" s="43"/>
      <c r="G8" s="44"/>
    </row>
    <row r="9">
      <c r="A9" s="41" t="s">
        <v>84</v>
      </c>
      <c r="B9" s="42"/>
      <c r="C9" s="43">
        <v>38183.58</v>
      </c>
      <c r="D9" s="43">
        <v>166.98</v>
      </c>
      <c r="E9" s="43">
        <v>292.02</v>
      </c>
      <c r="F9" s="43"/>
      <c r="G9" s="44"/>
    </row>
    <row r="10">
      <c r="A10" s="41" t="s">
        <v>85</v>
      </c>
      <c r="B10" s="42"/>
      <c r="C10" s="43">
        <v>42762.93</v>
      </c>
      <c r="D10" s="43">
        <v>4625.27</v>
      </c>
      <c r="E10" s="43">
        <v>176.56</v>
      </c>
      <c r="F10" s="43"/>
      <c r="G10" s="44"/>
    </row>
    <row r="11">
      <c r="A11" s="41" t="s">
        <v>86</v>
      </c>
      <c r="B11" s="42"/>
      <c r="C11" s="43">
        <v>15992.22</v>
      </c>
      <c r="D11" s="43">
        <v>1161.74</v>
      </c>
      <c r="E11" s="43">
        <v>237.48</v>
      </c>
      <c r="F11" s="43">
        <v>354.69</v>
      </c>
      <c r="G11" s="44">
        <v>0.01</v>
      </c>
    </row>
    <row r="12">
      <c r="A12" s="41" t="s">
        <v>87</v>
      </c>
      <c r="B12" s="42"/>
      <c r="C12" s="43">
        <v>2700.0</v>
      </c>
      <c r="D12" s="43"/>
      <c r="E12" s="43">
        <v>83.6</v>
      </c>
      <c r="F12" s="43"/>
      <c r="G12" s="44"/>
    </row>
    <row r="13">
      <c r="A13" s="45" t="s">
        <v>88</v>
      </c>
      <c r="B13" s="46">
        <f t="shared" ref="B13:G13" si="1">SUM(B4:B12)</f>
        <v>261072.3</v>
      </c>
      <c r="C13" s="46">
        <f t="shared" si="1"/>
        <v>228571.97</v>
      </c>
      <c r="D13" s="46">
        <f t="shared" si="1"/>
        <v>6287.95</v>
      </c>
      <c r="E13" s="46">
        <f t="shared" si="1"/>
        <v>1550.51</v>
      </c>
      <c r="F13" s="46">
        <f t="shared" si="1"/>
        <v>693.02</v>
      </c>
      <c r="G13" s="46">
        <f t="shared" si="1"/>
        <v>12.44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1C1C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0"/>
    <col customWidth="1" min="3" max="3" width="23.86"/>
    <col customWidth="1" min="4" max="4" width="10.14"/>
    <col customWidth="1" min="5" max="5" width="19.43"/>
    <col customWidth="1" min="6" max="6" width="17.29"/>
    <col customWidth="1" min="7" max="26" width="8.71"/>
  </cols>
  <sheetData>
    <row r="1">
      <c r="A1" s="1" t="s">
        <v>89</v>
      </c>
    </row>
    <row r="2">
      <c r="A2" s="47" t="s">
        <v>90</v>
      </c>
    </row>
    <row r="4" ht="22.5" customHeight="1">
      <c r="A4" s="48" t="s">
        <v>91</v>
      </c>
      <c r="B4" s="48" t="s">
        <v>92</v>
      </c>
      <c r="C4" s="48" t="s">
        <v>93</v>
      </c>
      <c r="D4" s="48" t="s">
        <v>94</v>
      </c>
      <c r="E4" s="48" t="s">
        <v>28</v>
      </c>
      <c r="F4" s="49" t="s">
        <v>95</v>
      </c>
    </row>
    <row r="5" ht="22.5" customHeight="1">
      <c r="A5" s="50">
        <v>1.0</v>
      </c>
      <c r="B5" s="51" t="s">
        <v>96</v>
      </c>
      <c r="C5" s="52">
        <v>48721.0</v>
      </c>
      <c r="D5" s="50">
        <v>2.0</v>
      </c>
      <c r="E5" s="53">
        <v>0.2131538700917702</v>
      </c>
      <c r="F5" s="54" t="s">
        <v>97</v>
      </c>
    </row>
    <row r="6" ht="22.5" customHeight="1">
      <c r="A6" s="50">
        <v>2.0</v>
      </c>
      <c r="B6" s="51" t="s">
        <v>98</v>
      </c>
      <c r="C6" s="52">
        <v>32495.0</v>
      </c>
      <c r="D6" s="50">
        <v>2.0</v>
      </c>
      <c r="E6" s="53">
        <v>0.1421652882459735</v>
      </c>
      <c r="F6" s="54" t="s">
        <v>97</v>
      </c>
    </row>
    <row r="7" ht="22.5" customHeight="1">
      <c r="A7" s="50">
        <v>3.0</v>
      </c>
      <c r="B7" s="51" t="s">
        <v>99</v>
      </c>
      <c r="C7" s="52">
        <v>19724.79</v>
      </c>
      <c r="D7" s="50">
        <v>2.0</v>
      </c>
      <c r="E7" s="53">
        <v>0.08629575183693784</v>
      </c>
      <c r="F7" s="54" t="s">
        <v>97</v>
      </c>
    </row>
    <row r="8" ht="22.5" customHeight="1">
      <c r="A8" s="50">
        <v>4.0</v>
      </c>
      <c r="B8" s="51" t="s">
        <v>100</v>
      </c>
      <c r="C8" s="52">
        <v>17000.75</v>
      </c>
      <c r="D8" s="50">
        <v>2.0</v>
      </c>
      <c r="E8" s="53">
        <v>0.07437810506686363</v>
      </c>
      <c r="F8" s="54" t="s">
        <v>97</v>
      </c>
    </row>
    <row r="9" ht="22.5" customHeight="1">
      <c r="A9" s="50">
        <v>5.0</v>
      </c>
      <c r="B9" s="51" t="s">
        <v>101</v>
      </c>
      <c r="C9" s="52">
        <v>15592.25</v>
      </c>
      <c r="D9" s="50">
        <v>5.0</v>
      </c>
      <c r="E9" s="53">
        <v>0.06821593216351068</v>
      </c>
      <c r="F9" s="54" t="s">
        <v>97</v>
      </c>
    </row>
    <row r="10" ht="22.5" customHeight="1">
      <c r="A10" s="50">
        <v>6.0</v>
      </c>
      <c r="B10" s="55" t="s">
        <v>102</v>
      </c>
      <c r="C10" s="52">
        <v>10850.0</v>
      </c>
      <c r="D10" s="50">
        <v>2.0</v>
      </c>
      <c r="E10" s="53">
        <v>0.04746863755866478</v>
      </c>
      <c r="F10" s="54" t="s">
        <v>97</v>
      </c>
    </row>
    <row r="11" ht="22.5" customHeight="1">
      <c r="A11" s="50">
        <v>7.0</v>
      </c>
      <c r="B11" s="55" t="s">
        <v>103</v>
      </c>
      <c r="C11" s="52">
        <v>10500.0</v>
      </c>
      <c r="D11" s="50">
        <v>1.0</v>
      </c>
      <c r="E11" s="53">
        <v>0.04593739118580463</v>
      </c>
      <c r="F11" s="54" t="s">
        <v>97</v>
      </c>
    </row>
    <row r="12" ht="22.5" customHeight="1">
      <c r="A12" s="50">
        <v>8.0</v>
      </c>
      <c r="B12" s="55" t="s">
        <v>104</v>
      </c>
      <c r="C12" s="52">
        <v>9712.560000000001</v>
      </c>
      <c r="D12" s="50">
        <v>14.0</v>
      </c>
      <c r="E12" s="53">
        <v>0.04249234934624749</v>
      </c>
      <c r="F12" s="54" t="s">
        <v>97</v>
      </c>
    </row>
    <row r="13" ht="22.5" customHeight="1">
      <c r="A13" s="50">
        <v>9.0</v>
      </c>
      <c r="B13" s="55" t="s">
        <v>105</v>
      </c>
      <c r="C13" s="52">
        <v>9377.46</v>
      </c>
      <c r="D13" s="50">
        <v>3.0</v>
      </c>
      <c r="E13" s="53">
        <v>0.0410262903189748</v>
      </c>
      <c r="F13" s="54" t="s">
        <v>97</v>
      </c>
    </row>
    <row r="14" ht="22.5" customHeight="1">
      <c r="A14" s="50">
        <v>10.0</v>
      </c>
      <c r="B14" s="55" t="s">
        <v>106</v>
      </c>
      <c r="C14" s="52">
        <v>7335.34</v>
      </c>
      <c r="D14" s="50">
        <v>3.0</v>
      </c>
      <c r="E14" s="53">
        <v>0.03209203648198859</v>
      </c>
      <c r="F14" s="54" t="s">
        <v>97</v>
      </c>
    </row>
    <row r="15" ht="22.5" customHeight="1">
      <c r="A15" s="50">
        <v>11.0</v>
      </c>
      <c r="B15" s="56" t="s">
        <v>107</v>
      </c>
      <c r="C15" s="52">
        <v>6755.2</v>
      </c>
      <c r="D15" s="50">
        <v>2.0</v>
      </c>
      <c r="E15" s="53">
        <v>0.02955392999412832</v>
      </c>
      <c r="F15" s="54" t="s">
        <v>97</v>
      </c>
    </row>
    <row r="16" ht="22.5" customHeight="1">
      <c r="A16" s="50">
        <v>12.0</v>
      </c>
      <c r="B16" s="56" t="s">
        <v>108</v>
      </c>
      <c r="C16" s="52">
        <v>4740.0</v>
      </c>
      <c r="D16" s="50">
        <v>2.0</v>
      </c>
      <c r="E16" s="53">
        <v>0.02073745087816323</v>
      </c>
      <c r="F16" s="54" t="s">
        <v>97</v>
      </c>
    </row>
    <row r="17" ht="22.5" customHeight="1">
      <c r="A17" s="50">
        <v>13.0</v>
      </c>
      <c r="B17" s="56" t="s">
        <v>109</v>
      </c>
      <c r="C17" s="52">
        <v>4722.74</v>
      </c>
      <c r="D17" s="50">
        <v>1.0</v>
      </c>
      <c r="E17" s="53">
        <v>0.02066193855703304</v>
      </c>
      <c r="F17" s="54" t="s">
        <v>97</v>
      </c>
    </row>
    <row r="18" ht="22.5" customHeight="1">
      <c r="A18" s="50">
        <v>14.0</v>
      </c>
      <c r="B18" s="56" t="s">
        <v>110</v>
      </c>
      <c r="C18" s="52">
        <v>4005.0</v>
      </c>
      <c r="D18" s="50">
        <v>2.0</v>
      </c>
      <c r="E18" s="53">
        <v>0.01752183349515691</v>
      </c>
      <c r="F18" s="54" t="s">
        <v>97</v>
      </c>
    </row>
    <row r="19" ht="22.5" customHeight="1">
      <c r="A19" s="50">
        <v>15.0</v>
      </c>
      <c r="B19" s="56" t="s">
        <v>111</v>
      </c>
      <c r="C19" s="52">
        <v>3668.8</v>
      </c>
      <c r="D19" s="50">
        <v>1.0</v>
      </c>
      <c r="E19" s="53">
        <v>0.01605096197928381</v>
      </c>
      <c r="F19" s="54" t="s">
        <v>97</v>
      </c>
    </row>
    <row r="20" ht="22.5" customHeight="1">
      <c r="A20" s="50">
        <v>16.0</v>
      </c>
      <c r="B20" s="56" t="s">
        <v>112</v>
      </c>
      <c r="C20" s="52">
        <v>2700.0</v>
      </c>
      <c r="D20" s="50">
        <v>1.0</v>
      </c>
      <c r="E20" s="53">
        <v>0.0118124720192069</v>
      </c>
      <c r="F20" s="54" t="s">
        <v>97</v>
      </c>
    </row>
    <row r="21" ht="15.75" customHeight="1">
      <c r="A21" s="50">
        <v>17.0</v>
      </c>
      <c r="B21" s="56" t="s">
        <v>113</v>
      </c>
      <c r="C21" s="52">
        <v>2669.0</v>
      </c>
      <c r="D21" s="50">
        <v>1.0</v>
      </c>
      <c r="E21" s="53">
        <v>0.01167684734046786</v>
      </c>
      <c r="F21" s="54" t="s">
        <v>97</v>
      </c>
    </row>
    <row r="22" ht="15.75" customHeight="1">
      <c r="A22" s="50">
        <v>18.0</v>
      </c>
      <c r="B22" s="56" t="s">
        <v>114</v>
      </c>
      <c r="C22" s="52">
        <v>2490.0</v>
      </c>
      <c r="D22" s="50">
        <v>1.0</v>
      </c>
      <c r="E22" s="53">
        <v>0.01089372419549081</v>
      </c>
      <c r="F22" s="54" t="s">
        <v>97</v>
      </c>
    </row>
    <row r="23" ht="15.75" customHeight="1">
      <c r="A23" s="50">
        <v>19.0</v>
      </c>
      <c r="B23" s="56" t="s">
        <v>115</v>
      </c>
      <c r="C23" s="52">
        <v>2173.84</v>
      </c>
      <c r="D23" s="50">
        <v>2.0</v>
      </c>
      <c r="E23" s="53">
        <v>0.00951052747193805</v>
      </c>
      <c r="F23" s="54" t="s">
        <v>97</v>
      </c>
    </row>
    <row r="24" ht="15.75" customHeight="1">
      <c r="A24" s="50">
        <v>20.0</v>
      </c>
      <c r="B24" s="56" t="s">
        <v>116</v>
      </c>
      <c r="C24" s="52">
        <v>2000.0</v>
      </c>
      <c r="D24" s="50">
        <v>1.0</v>
      </c>
      <c r="E24" s="53">
        <v>0.008749979273486596</v>
      </c>
      <c r="F24" s="54" t="s">
        <v>97</v>
      </c>
    </row>
    <row r="25" ht="15.75" customHeight="1">
      <c r="A25" s="50">
        <v>21.0</v>
      </c>
      <c r="B25" s="56" t="s">
        <v>117</v>
      </c>
      <c r="C25" s="52">
        <v>1861.75</v>
      </c>
      <c r="D25" s="50">
        <v>1.0</v>
      </c>
      <c r="E25" s="53">
        <v>0.008145136956206835</v>
      </c>
      <c r="F25" s="54" t="s">
        <v>97</v>
      </c>
    </row>
    <row r="26" ht="15.75" customHeight="1">
      <c r="A26" s="50">
        <v>22.0</v>
      </c>
      <c r="B26" s="56" t="s">
        <v>118</v>
      </c>
      <c r="C26" s="52">
        <v>1818.21</v>
      </c>
      <c r="D26" s="50">
        <v>1.0</v>
      </c>
      <c r="E26" s="53">
        <v>0.007954649907423032</v>
      </c>
      <c r="F26" s="54" t="s">
        <v>97</v>
      </c>
    </row>
    <row r="27" ht="15.75" customHeight="1">
      <c r="A27" s="50">
        <v>23.0</v>
      </c>
      <c r="B27" s="56" t="s">
        <v>119</v>
      </c>
      <c r="C27" s="52">
        <v>1621.0</v>
      </c>
      <c r="D27" s="50">
        <v>1.0</v>
      </c>
      <c r="E27" s="53">
        <v>0.007091858201160886</v>
      </c>
      <c r="F27" s="54" t="s">
        <v>97</v>
      </c>
    </row>
    <row r="28" ht="15.75" customHeight="1">
      <c r="A28" s="50">
        <v>24.0</v>
      </c>
      <c r="B28" s="56" t="s">
        <v>120</v>
      </c>
      <c r="C28" s="52">
        <v>1426.0</v>
      </c>
      <c r="D28" s="50">
        <v>1.0</v>
      </c>
      <c r="E28" s="53">
        <v>0.006238735221995943</v>
      </c>
      <c r="F28" s="54" t="s">
        <v>97</v>
      </c>
    </row>
    <row r="29" ht="15.75" customHeight="1">
      <c r="A29" s="50">
        <v>25.0</v>
      </c>
      <c r="B29" s="56" t="s">
        <v>121</v>
      </c>
      <c r="C29" s="52">
        <v>1187.7</v>
      </c>
      <c r="D29" s="50">
        <v>1.0</v>
      </c>
      <c r="E29" s="53">
        <v>0.005196175191560015</v>
      </c>
      <c r="F29" s="54" t="s">
        <v>97</v>
      </c>
    </row>
    <row r="30" ht="15.75" customHeight="1">
      <c r="A30" s="50">
        <v>26.0</v>
      </c>
      <c r="B30" s="56" t="s">
        <v>122</v>
      </c>
      <c r="C30" s="52">
        <v>747.0</v>
      </c>
      <c r="D30" s="50">
        <v>1.0</v>
      </c>
      <c r="E30" s="53">
        <v>0.003268117258647243</v>
      </c>
      <c r="F30" s="54" t="s">
        <v>97</v>
      </c>
    </row>
    <row r="31" ht="15.75" customHeight="1">
      <c r="A31" s="50">
        <v>27.0</v>
      </c>
      <c r="B31" s="56" t="s">
        <v>123</v>
      </c>
      <c r="C31" s="52">
        <v>569.0</v>
      </c>
      <c r="D31" s="50">
        <v>1.0</v>
      </c>
      <c r="E31" s="53">
        <v>0.002489369103306936</v>
      </c>
      <c r="F31" s="54" t="s">
        <v>97</v>
      </c>
    </row>
    <row r="32" ht="15.75" customHeight="1">
      <c r="A32" s="50">
        <v>28.0</v>
      </c>
      <c r="B32" s="56" t="s">
        <v>124</v>
      </c>
      <c r="C32" s="52">
        <v>540.0</v>
      </c>
      <c r="D32" s="50">
        <v>1.0</v>
      </c>
      <c r="E32" s="53">
        <v>0.002362494403841381</v>
      </c>
      <c r="F32" s="54" t="s">
        <v>97</v>
      </c>
    </row>
    <row r="33" ht="15.75" customHeight="1">
      <c r="A33" s="50">
        <v>29.0</v>
      </c>
      <c r="B33" s="56" t="s">
        <v>125</v>
      </c>
      <c r="C33" s="52">
        <v>490.0</v>
      </c>
      <c r="D33" s="50">
        <v>1.0</v>
      </c>
      <c r="E33" s="53">
        <v>0.002143744922004216</v>
      </c>
      <c r="F33" s="54" t="s">
        <v>97</v>
      </c>
    </row>
    <row r="34" ht="15.75" customHeight="1">
      <c r="A34" s="50">
        <v>30.0</v>
      </c>
      <c r="B34" s="56" t="s">
        <v>126</v>
      </c>
      <c r="C34" s="52">
        <v>461.1</v>
      </c>
      <c r="D34" s="50">
        <v>1.0</v>
      </c>
      <c r="E34" s="53">
        <v>0.002017307721502335</v>
      </c>
      <c r="F34" s="54" t="s">
        <v>97</v>
      </c>
    </row>
    <row r="35" ht="15.75" customHeight="1">
      <c r="A35" s="50">
        <v>31.0</v>
      </c>
      <c r="B35" s="56" t="s">
        <v>127</v>
      </c>
      <c r="C35" s="52">
        <v>422.48</v>
      </c>
      <c r="D35" s="50">
        <v>1.0</v>
      </c>
      <c r="E35" s="53">
        <v>0.001848345621731309</v>
      </c>
      <c r="F35" s="54" t="s">
        <v>97</v>
      </c>
    </row>
    <row r="36" ht="15.75" customHeight="1">
      <c r="A36" s="50">
        <v>32.0</v>
      </c>
      <c r="B36" s="56" t="s">
        <v>128</v>
      </c>
      <c r="C36" s="52">
        <v>144.0</v>
      </c>
      <c r="D36" s="50">
        <v>1.0</v>
      </c>
      <c r="E36" s="53">
        <v>6.299985076910349E-4</v>
      </c>
      <c r="F36" s="54" t="s">
        <v>97</v>
      </c>
    </row>
    <row r="37" ht="15.75" customHeight="1">
      <c r="A37" s="50">
        <v>33.0</v>
      </c>
      <c r="B37" s="56" t="s">
        <v>129</v>
      </c>
      <c r="C37" s="52">
        <v>50.0</v>
      </c>
      <c r="D37" s="50">
        <v>1.0</v>
      </c>
      <c r="E37" s="53">
        <v>2.187494818371649E-4</v>
      </c>
      <c r="F37" s="54" t="s">
        <v>97</v>
      </c>
    </row>
    <row r="38" ht="15.75" customHeight="1">
      <c r="A38" s="57"/>
      <c r="B38" s="58" t="s">
        <v>88</v>
      </c>
      <c r="C38" s="59">
        <f>SUM(Tabela_2[Total Pago (R$)])</f>
        <v>228571.97</v>
      </c>
      <c r="D38" s="57"/>
      <c r="E38" s="5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F5:F37">
      <formula1>"OK,VALIDAR,ERROR"</formula1>
    </dataValidation>
    <dataValidation type="custom" allowBlank="1" showDropDown="1" sqref="C5:C37 E5:E37">
      <formula1>AND(ISNUMBER(C5),(NOT(OR(NOT(ISERROR(DATEVALUE(C5))), AND(ISNUMBER(C5), LEFT(CELL("format", C5))="D")))))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3" width="18.0"/>
    <col customWidth="1" min="4" max="4" width="12.0"/>
    <col customWidth="1" min="5" max="26" width="8.71"/>
  </cols>
  <sheetData>
    <row r="1">
      <c r="A1" s="1" t="s">
        <v>130</v>
      </c>
    </row>
    <row r="3">
      <c r="A3" s="6" t="s">
        <v>131</v>
      </c>
      <c r="B3" s="6" t="s">
        <v>132</v>
      </c>
      <c r="C3" s="6" t="s">
        <v>27</v>
      </c>
      <c r="D3" s="6" t="s">
        <v>133</v>
      </c>
    </row>
    <row r="4">
      <c r="A4" s="7" t="s">
        <v>134</v>
      </c>
      <c r="B4" s="8">
        <v>8.0</v>
      </c>
      <c r="C4" s="20">
        <v>587.6</v>
      </c>
      <c r="D4" s="21">
        <v>0.3789720801542719</v>
      </c>
    </row>
    <row r="5">
      <c r="A5" s="7" t="s">
        <v>135</v>
      </c>
      <c r="B5" s="8">
        <v>56.0</v>
      </c>
      <c r="C5" s="20">
        <v>487.6100000000003</v>
      </c>
      <c r="D5" s="21">
        <v>0.3144836215180813</v>
      </c>
    </row>
    <row r="6">
      <c r="A6" s="7" t="s">
        <v>136</v>
      </c>
      <c r="B6" s="8">
        <v>4.0</v>
      </c>
      <c r="C6" s="20">
        <v>432.0</v>
      </c>
      <c r="D6" s="21">
        <v>0.2786180031086546</v>
      </c>
    </row>
    <row r="7">
      <c r="A7" s="7" t="s">
        <v>137</v>
      </c>
      <c r="B7" s="8">
        <v>3.0</v>
      </c>
      <c r="C7" s="20">
        <v>40.2</v>
      </c>
      <c r="D7" s="21">
        <v>0.02592695306705536</v>
      </c>
    </row>
    <row r="8">
      <c r="A8" s="7" t="s">
        <v>138</v>
      </c>
      <c r="B8" s="8">
        <v>1.0</v>
      </c>
      <c r="C8" s="20">
        <v>3.1</v>
      </c>
      <c r="D8" s="21">
        <v>0.001999342151937105</v>
      </c>
    </row>
    <row r="9">
      <c r="A9" s="45" t="s">
        <v>88</v>
      </c>
      <c r="B9" s="60"/>
      <c r="C9" s="46">
        <f>SUM(C4:C8)</f>
        <v>1550.51</v>
      </c>
      <c r="D9" s="6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55.0"/>
    <col customWidth="1" min="3" max="3" width="31.14"/>
    <col customWidth="1" min="4" max="4" width="20.86"/>
    <col customWidth="1" min="5" max="5" width="20.14"/>
    <col customWidth="1" min="6" max="6" width="19.43"/>
    <col customWidth="1" min="7" max="7" width="30.0"/>
    <col customWidth="1" min="8" max="25" width="8.71"/>
  </cols>
  <sheetData>
    <row r="1">
      <c r="A1" s="1" t="s">
        <v>139</v>
      </c>
    </row>
    <row r="3" ht="22.5" customHeight="1">
      <c r="A3" s="48" t="s">
        <v>5</v>
      </c>
      <c r="B3" s="48" t="s">
        <v>140</v>
      </c>
      <c r="C3" s="48" t="s">
        <v>141</v>
      </c>
      <c r="D3" s="48" t="s">
        <v>142</v>
      </c>
      <c r="E3" s="48" t="s">
        <v>143</v>
      </c>
      <c r="F3" s="48" t="s">
        <v>144</v>
      </c>
      <c r="G3" s="48" t="s">
        <v>145</v>
      </c>
    </row>
    <row r="4" ht="22.5" customHeight="1">
      <c r="A4" s="61">
        <v>45876.0</v>
      </c>
      <c r="B4" s="62" t="s">
        <v>146</v>
      </c>
      <c r="C4" s="63" t="s">
        <v>147</v>
      </c>
      <c r="D4" s="64"/>
      <c r="E4" s="52">
        <v>-13.4</v>
      </c>
      <c r="F4" s="65">
        <v>-13.4</v>
      </c>
      <c r="G4" s="66"/>
    </row>
    <row r="5" ht="22.5" customHeight="1">
      <c r="A5" s="61">
        <v>45877.0</v>
      </c>
      <c r="B5" s="62" t="s">
        <v>148</v>
      </c>
      <c r="C5" s="67" t="s">
        <v>149</v>
      </c>
      <c r="D5" s="64">
        <v>13.4</v>
      </c>
      <c r="E5" s="52"/>
      <c r="F5" s="65">
        <v>0.0</v>
      </c>
      <c r="G5" s="66" t="s">
        <v>150</v>
      </c>
    </row>
    <row r="6" ht="22.5" customHeight="1">
      <c r="A6" s="61">
        <v>45888.0</v>
      </c>
      <c r="B6" s="62" t="s">
        <v>151</v>
      </c>
      <c r="C6" s="67" t="s">
        <v>149</v>
      </c>
      <c r="D6" s="64">
        <v>7550.0</v>
      </c>
      <c r="E6" s="52"/>
      <c r="F6" s="65">
        <v>7550.0</v>
      </c>
      <c r="G6" s="66" t="s">
        <v>150</v>
      </c>
    </row>
    <row r="7" ht="22.5" customHeight="1">
      <c r="A7" s="61">
        <v>45891.0</v>
      </c>
      <c r="B7" s="62" t="s">
        <v>152</v>
      </c>
      <c r="C7" s="63" t="s">
        <v>153</v>
      </c>
      <c r="D7" s="64"/>
      <c r="E7" s="52">
        <v>-3.1</v>
      </c>
      <c r="F7" s="65">
        <v>7546.9</v>
      </c>
      <c r="G7" s="66"/>
    </row>
    <row r="8" ht="22.5" customHeight="1">
      <c r="A8" s="61">
        <v>45901.0</v>
      </c>
      <c r="B8" s="62" t="s">
        <v>154</v>
      </c>
      <c r="C8" s="68" t="s">
        <v>155</v>
      </c>
      <c r="D8" s="64">
        <v>0.01</v>
      </c>
      <c r="E8" s="52"/>
      <c r="F8" s="65">
        <v>7546.91</v>
      </c>
      <c r="G8" s="66"/>
    </row>
    <row r="9" ht="22.5" customHeight="1">
      <c r="A9" s="61">
        <v>45901.0</v>
      </c>
      <c r="B9" s="62" t="s">
        <v>156</v>
      </c>
      <c r="C9" s="63" t="s">
        <v>157</v>
      </c>
      <c r="D9" s="64"/>
      <c r="E9" s="52">
        <v>-72.4</v>
      </c>
      <c r="F9" s="65">
        <v>7474.51</v>
      </c>
      <c r="G9" s="66"/>
    </row>
    <row r="10" ht="22.5" customHeight="1">
      <c r="A10" s="61">
        <v>45902.0</v>
      </c>
      <c r="B10" s="62" t="s">
        <v>158</v>
      </c>
      <c r="C10" s="69" t="s">
        <v>159</v>
      </c>
      <c r="D10" s="64"/>
      <c r="E10" s="52">
        <v>-0.07</v>
      </c>
      <c r="F10" s="65">
        <v>7474.44</v>
      </c>
      <c r="G10" s="66"/>
    </row>
    <row r="11" ht="22.5" customHeight="1">
      <c r="A11" s="61">
        <v>45902.0</v>
      </c>
      <c r="B11" s="62" t="s">
        <v>160</v>
      </c>
      <c r="C11" s="69" t="s">
        <v>159</v>
      </c>
      <c r="D11" s="64"/>
      <c r="E11" s="52">
        <v>-0.05</v>
      </c>
      <c r="F11" s="65">
        <v>7474.39</v>
      </c>
      <c r="G11" s="66"/>
    </row>
    <row r="12" ht="22.5" customHeight="1">
      <c r="A12" s="61">
        <v>45916.0</v>
      </c>
      <c r="B12" s="62" t="s">
        <v>154</v>
      </c>
      <c r="C12" s="68" t="s">
        <v>155</v>
      </c>
      <c r="D12" s="64">
        <v>0.04</v>
      </c>
      <c r="E12" s="52"/>
      <c r="F12" s="65">
        <v>7474.43</v>
      </c>
      <c r="G12" s="66"/>
    </row>
    <row r="13" ht="22.5" customHeight="1">
      <c r="A13" s="61">
        <v>45916.0</v>
      </c>
      <c r="B13" s="62" t="s">
        <v>161</v>
      </c>
      <c r="C13" s="63" t="s">
        <v>162</v>
      </c>
      <c r="D13" s="64"/>
      <c r="E13" s="52">
        <v>-108.0</v>
      </c>
      <c r="F13" s="65">
        <v>7366.43</v>
      </c>
      <c r="G13" s="66"/>
    </row>
    <row r="14" ht="22.5" customHeight="1">
      <c r="A14" s="61">
        <v>45926.0</v>
      </c>
      <c r="B14" s="62" t="s">
        <v>163</v>
      </c>
      <c r="C14" s="67" t="s">
        <v>164</v>
      </c>
      <c r="D14" s="64">
        <v>169005.93</v>
      </c>
      <c r="E14" s="52"/>
      <c r="F14" s="65">
        <v>176372.36</v>
      </c>
      <c r="G14" s="66" t="s">
        <v>165</v>
      </c>
    </row>
    <row r="15" ht="22.5" customHeight="1">
      <c r="A15" s="61">
        <v>45926.0</v>
      </c>
      <c r="B15" s="62" t="s">
        <v>163</v>
      </c>
      <c r="C15" s="67" t="s">
        <v>164</v>
      </c>
      <c r="D15" s="64">
        <v>84502.97</v>
      </c>
      <c r="E15" s="52"/>
      <c r="F15" s="65">
        <v>260875.33</v>
      </c>
      <c r="G15" s="66" t="s">
        <v>165</v>
      </c>
    </row>
    <row r="16" ht="22.5" customHeight="1">
      <c r="A16" s="61">
        <v>45929.0</v>
      </c>
      <c r="B16" s="62" t="s">
        <v>166</v>
      </c>
      <c r="C16" s="70" t="s">
        <v>167</v>
      </c>
      <c r="D16" s="64"/>
      <c r="E16" s="52">
        <v>-1101.12</v>
      </c>
      <c r="F16" s="65">
        <v>259774.89</v>
      </c>
      <c r="G16" s="66" t="s">
        <v>168</v>
      </c>
    </row>
    <row r="17" ht="22.5" customHeight="1">
      <c r="A17" s="61">
        <v>45929.0</v>
      </c>
      <c r="B17" s="62" t="s">
        <v>154</v>
      </c>
      <c r="C17" s="68" t="s">
        <v>155</v>
      </c>
      <c r="D17" s="64">
        <v>0.68</v>
      </c>
      <c r="E17" s="52"/>
      <c r="F17" s="65">
        <v>260876.01</v>
      </c>
      <c r="G17" s="66"/>
    </row>
    <row r="18" ht="22.5" customHeight="1">
      <c r="A18" s="61">
        <v>45931.0</v>
      </c>
      <c r="B18" s="62" t="s">
        <v>154</v>
      </c>
      <c r="C18" s="68" t="s">
        <v>155</v>
      </c>
      <c r="D18" s="64">
        <v>0.05</v>
      </c>
      <c r="E18" s="52"/>
      <c r="F18" s="65">
        <v>259774.94</v>
      </c>
      <c r="G18" s="66"/>
    </row>
    <row r="19" ht="22.5" customHeight="1">
      <c r="A19" s="61">
        <v>45931.0</v>
      </c>
      <c r="B19" s="62" t="s">
        <v>156</v>
      </c>
      <c r="C19" s="63" t="s">
        <v>157</v>
      </c>
      <c r="D19" s="64"/>
      <c r="E19" s="52">
        <v>-72.4</v>
      </c>
      <c r="F19" s="65">
        <v>259702.54</v>
      </c>
      <c r="G19" s="66"/>
    </row>
    <row r="20" ht="22.5" customHeight="1">
      <c r="A20" s="61">
        <v>45931.0</v>
      </c>
      <c r="B20" s="62" t="s">
        <v>169</v>
      </c>
      <c r="C20" s="63" t="s">
        <v>170</v>
      </c>
      <c r="D20" s="64"/>
      <c r="E20" s="52">
        <v>-9.8</v>
      </c>
      <c r="F20" s="65">
        <v>259692.74</v>
      </c>
      <c r="G20" s="66"/>
    </row>
    <row r="21" ht="15.75" customHeight="1">
      <c r="A21" s="61">
        <v>45932.0</v>
      </c>
      <c r="B21" s="62" t="s">
        <v>171</v>
      </c>
      <c r="C21" s="71" t="s">
        <v>172</v>
      </c>
      <c r="D21" s="64"/>
      <c r="E21" s="52">
        <v>-255000.0</v>
      </c>
      <c r="F21" s="65">
        <v>4701.24</v>
      </c>
      <c r="G21" s="66"/>
    </row>
    <row r="22" ht="15.75" customHeight="1">
      <c r="A22" s="61">
        <v>45932.0</v>
      </c>
      <c r="B22" s="62" t="s">
        <v>173</v>
      </c>
      <c r="C22" s="70" t="s">
        <v>167</v>
      </c>
      <c r="D22" s="64"/>
      <c r="E22" s="52">
        <v>-354.84</v>
      </c>
      <c r="F22" s="65">
        <v>4346.4</v>
      </c>
      <c r="G22" s="66" t="s">
        <v>174</v>
      </c>
    </row>
    <row r="23" ht="15.75" customHeight="1">
      <c r="A23" s="61">
        <v>45932.0</v>
      </c>
      <c r="B23" s="62" t="s">
        <v>154</v>
      </c>
      <c r="C23" s="68" t="s">
        <v>155</v>
      </c>
      <c r="D23" s="64">
        <v>4.23</v>
      </c>
      <c r="E23" s="52"/>
      <c r="F23" s="65">
        <v>259696.97</v>
      </c>
      <c r="G23" s="66"/>
    </row>
    <row r="24" ht="15.75" customHeight="1">
      <c r="A24" s="61">
        <v>45932.0</v>
      </c>
      <c r="B24" s="62" t="s">
        <v>154</v>
      </c>
      <c r="C24" s="68" t="s">
        <v>155</v>
      </c>
      <c r="D24" s="64">
        <v>4.27</v>
      </c>
      <c r="E24" s="52"/>
      <c r="F24" s="65">
        <v>259701.24</v>
      </c>
      <c r="G24" s="66"/>
    </row>
    <row r="25" ht="15.75" customHeight="1">
      <c r="A25" s="61">
        <v>45936.0</v>
      </c>
      <c r="B25" s="62" t="s">
        <v>175</v>
      </c>
      <c r="C25" s="71" t="s">
        <v>176</v>
      </c>
      <c r="D25" s="64">
        <v>10000.0</v>
      </c>
      <c r="E25" s="52"/>
      <c r="F25" s="65">
        <v>14346.4</v>
      </c>
      <c r="G25" s="66"/>
    </row>
    <row r="26" ht="15.75" customHeight="1">
      <c r="A26" s="61">
        <v>45936.0</v>
      </c>
      <c r="B26" s="62" t="s">
        <v>177</v>
      </c>
      <c r="C26" s="70" t="s">
        <v>167</v>
      </c>
      <c r="D26" s="64"/>
      <c r="E26" s="52">
        <v>-10500.0</v>
      </c>
      <c r="F26" s="65">
        <v>3841.29</v>
      </c>
      <c r="G26" s="66" t="s">
        <v>103</v>
      </c>
    </row>
    <row r="27" ht="15.75" customHeight="1">
      <c r="A27" s="61">
        <v>45936.0</v>
      </c>
      <c r="B27" s="62" t="s">
        <v>178</v>
      </c>
      <c r="C27" s="70" t="s">
        <v>167</v>
      </c>
      <c r="D27" s="64"/>
      <c r="E27" s="52">
        <v>-50.0</v>
      </c>
      <c r="F27" s="65">
        <v>3791.29</v>
      </c>
      <c r="G27" s="66" t="s">
        <v>179</v>
      </c>
    </row>
    <row r="28" ht="15.75" customHeight="1">
      <c r="A28" s="61">
        <v>45936.0</v>
      </c>
      <c r="B28" s="62" t="s">
        <v>154</v>
      </c>
      <c r="C28" s="68" t="s">
        <v>155</v>
      </c>
      <c r="D28" s="64">
        <v>0.03</v>
      </c>
      <c r="E28" s="52"/>
      <c r="F28" s="65">
        <v>14346.43</v>
      </c>
      <c r="G28" s="66"/>
    </row>
    <row r="29" ht="15.75" customHeight="1">
      <c r="A29" s="61">
        <v>45936.0</v>
      </c>
      <c r="B29" s="62" t="s">
        <v>169</v>
      </c>
      <c r="C29" s="63" t="s">
        <v>170</v>
      </c>
      <c r="D29" s="64"/>
      <c r="E29" s="52">
        <v>-5.14</v>
      </c>
      <c r="F29" s="65">
        <v>14341.29</v>
      </c>
      <c r="G29" s="66"/>
    </row>
    <row r="30" ht="15.75" customHeight="1">
      <c r="A30" s="61">
        <v>45937.0</v>
      </c>
      <c r="B30" s="62" t="s">
        <v>180</v>
      </c>
      <c r="C30" s="70" t="s">
        <v>167</v>
      </c>
      <c r="D30" s="64"/>
      <c r="E30" s="52">
        <v>-2000.0</v>
      </c>
      <c r="F30" s="65">
        <v>1791.41</v>
      </c>
      <c r="G30" s="66" t="s">
        <v>181</v>
      </c>
    </row>
    <row r="31" ht="15.75" customHeight="1">
      <c r="A31" s="61">
        <v>45937.0</v>
      </c>
      <c r="B31" s="62" t="s">
        <v>182</v>
      </c>
      <c r="C31" s="70" t="s">
        <v>167</v>
      </c>
      <c r="D31" s="64"/>
      <c r="E31" s="52">
        <v>-144.0</v>
      </c>
      <c r="F31" s="65">
        <v>1647.41</v>
      </c>
      <c r="G31" s="66" t="s">
        <v>183</v>
      </c>
    </row>
    <row r="32" ht="15.75" customHeight="1">
      <c r="A32" s="61">
        <v>45937.0</v>
      </c>
      <c r="B32" s="62" t="s">
        <v>154</v>
      </c>
      <c r="C32" s="68" t="s">
        <v>155</v>
      </c>
      <c r="D32" s="64">
        <v>0.12</v>
      </c>
      <c r="E32" s="52"/>
      <c r="F32" s="65">
        <v>3791.41</v>
      </c>
      <c r="G32" s="66"/>
    </row>
    <row r="33" ht="15.75" customHeight="1">
      <c r="A33" s="61">
        <v>45938.0</v>
      </c>
      <c r="B33" s="62" t="s">
        <v>175</v>
      </c>
      <c r="C33" s="71" t="s">
        <v>176</v>
      </c>
      <c r="D33" s="64">
        <v>45000.0</v>
      </c>
      <c r="E33" s="52"/>
      <c r="F33" s="65">
        <v>46647.41</v>
      </c>
      <c r="G33" s="66"/>
    </row>
    <row r="34" ht="15.75" customHeight="1">
      <c r="A34" s="61">
        <v>45939.0</v>
      </c>
      <c r="B34" s="62" t="s">
        <v>184</v>
      </c>
      <c r="C34" s="70" t="s">
        <v>167</v>
      </c>
      <c r="D34" s="64"/>
      <c r="E34" s="52">
        <v>-1064.52</v>
      </c>
      <c r="F34" s="65">
        <v>45573.18</v>
      </c>
      <c r="G34" s="66" t="s">
        <v>174</v>
      </c>
    </row>
    <row r="35" ht="15.75" customHeight="1">
      <c r="A35" s="61">
        <v>45939.0</v>
      </c>
      <c r="B35" s="62" t="s">
        <v>154</v>
      </c>
      <c r="C35" s="68" t="s">
        <v>155</v>
      </c>
      <c r="D35" s="64">
        <v>0.09</v>
      </c>
      <c r="E35" s="52"/>
      <c r="F35" s="65">
        <v>46647.5</v>
      </c>
      <c r="G35" s="66"/>
    </row>
    <row r="36" ht="15.75" customHeight="1">
      <c r="A36" s="61">
        <v>45939.0</v>
      </c>
      <c r="B36" s="62" t="s">
        <v>169</v>
      </c>
      <c r="C36" s="63" t="s">
        <v>170</v>
      </c>
      <c r="D36" s="64"/>
      <c r="E36" s="52">
        <v>-9.8</v>
      </c>
      <c r="F36" s="65">
        <v>46637.7</v>
      </c>
      <c r="G36" s="66"/>
    </row>
    <row r="37" ht="15.75" customHeight="1">
      <c r="A37" s="61">
        <v>45943.0</v>
      </c>
      <c r="B37" s="62" t="s">
        <v>185</v>
      </c>
      <c r="C37" s="70" t="s">
        <v>167</v>
      </c>
      <c r="D37" s="64"/>
      <c r="E37" s="52">
        <v>-160.0</v>
      </c>
      <c r="F37" s="65">
        <v>45403.4</v>
      </c>
      <c r="G37" s="66" t="s">
        <v>174</v>
      </c>
    </row>
    <row r="38" ht="15.75" customHeight="1">
      <c r="A38" s="61">
        <v>45943.0</v>
      </c>
      <c r="B38" s="62" t="s">
        <v>154</v>
      </c>
      <c r="C38" s="68" t="s">
        <v>155</v>
      </c>
      <c r="D38" s="64">
        <v>0.02</v>
      </c>
      <c r="E38" s="52"/>
      <c r="F38" s="65">
        <v>45573.2</v>
      </c>
      <c r="G38" s="66"/>
    </row>
    <row r="39" ht="15.75" customHeight="1">
      <c r="A39" s="61">
        <v>45943.0</v>
      </c>
      <c r="B39" s="62" t="s">
        <v>169</v>
      </c>
      <c r="C39" s="63" t="s">
        <v>170</v>
      </c>
      <c r="D39" s="64"/>
      <c r="E39" s="52">
        <v>-9.8</v>
      </c>
      <c r="F39" s="65">
        <v>45563.4</v>
      </c>
      <c r="G39" s="66"/>
    </row>
    <row r="40" ht="15.75" customHeight="1">
      <c r="A40" s="61">
        <v>45945.0</v>
      </c>
      <c r="B40" s="62" t="s">
        <v>186</v>
      </c>
      <c r="C40" s="70" t="s">
        <v>167</v>
      </c>
      <c r="D40" s="64"/>
      <c r="E40" s="52">
        <v>-28500.0</v>
      </c>
      <c r="F40" s="65">
        <v>16901.88</v>
      </c>
      <c r="G40" s="66" t="s">
        <v>98</v>
      </c>
    </row>
    <row r="41" ht="15.75" customHeight="1">
      <c r="A41" s="61">
        <v>45945.0</v>
      </c>
      <c r="B41" s="62" t="s">
        <v>187</v>
      </c>
      <c r="C41" s="70" t="s">
        <v>167</v>
      </c>
      <c r="D41" s="64"/>
      <c r="E41" s="52">
        <v>-354.84</v>
      </c>
      <c r="F41" s="65">
        <v>16547.04</v>
      </c>
      <c r="G41" s="66" t="s">
        <v>174</v>
      </c>
    </row>
    <row r="42" ht="15.75" customHeight="1">
      <c r="A42" s="61">
        <v>45945.0</v>
      </c>
      <c r="B42" s="62" t="s">
        <v>154</v>
      </c>
      <c r="C42" s="68" t="s">
        <v>155</v>
      </c>
      <c r="D42" s="64">
        <v>0.73</v>
      </c>
      <c r="E42" s="52"/>
      <c r="F42" s="65">
        <v>45404.13</v>
      </c>
      <c r="G42" s="66"/>
    </row>
    <row r="43" ht="15.75" customHeight="1">
      <c r="A43" s="61">
        <v>45945.0</v>
      </c>
      <c r="B43" s="62" t="s">
        <v>154</v>
      </c>
      <c r="C43" s="68" t="s">
        <v>155</v>
      </c>
      <c r="D43" s="64">
        <v>0.07</v>
      </c>
      <c r="E43" s="52"/>
      <c r="F43" s="65">
        <v>45404.2</v>
      </c>
      <c r="G43" s="66"/>
    </row>
    <row r="44" ht="15.75" customHeight="1">
      <c r="A44" s="61">
        <v>45945.0</v>
      </c>
      <c r="B44" s="62" t="s">
        <v>169</v>
      </c>
      <c r="C44" s="63" t="s">
        <v>170</v>
      </c>
      <c r="D44" s="64"/>
      <c r="E44" s="52">
        <v>-2.32</v>
      </c>
      <c r="F44" s="65">
        <v>45401.88</v>
      </c>
      <c r="G44" s="66"/>
    </row>
    <row r="45" ht="15.75" customHeight="1">
      <c r="A45" s="61">
        <v>45947.0</v>
      </c>
      <c r="B45" s="62" t="s">
        <v>188</v>
      </c>
      <c r="C45" s="70" t="s">
        <v>167</v>
      </c>
      <c r="D45" s="64"/>
      <c r="E45" s="52">
        <v>-3995.0</v>
      </c>
      <c r="F45" s="65">
        <v>12537.28</v>
      </c>
      <c r="G45" s="66" t="s">
        <v>98</v>
      </c>
    </row>
    <row r="46" ht="15.75" customHeight="1">
      <c r="A46" s="61">
        <v>45947.0</v>
      </c>
      <c r="B46" s="62" t="s">
        <v>154</v>
      </c>
      <c r="C46" s="68" t="s">
        <v>155</v>
      </c>
      <c r="D46" s="64">
        <v>0.18</v>
      </c>
      <c r="E46" s="52"/>
      <c r="F46" s="65">
        <v>16547.22</v>
      </c>
      <c r="G46" s="66"/>
    </row>
    <row r="47" ht="15.75" customHeight="1">
      <c r="A47" s="61">
        <v>45947.0</v>
      </c>
      <c r="B47" s="62" t="s">
        <v>169</v>
      </c>
      <c r="C47" s="63" t="s">
        <v>170</v>
      </c>
      <c r="D47" s="64"/>
      <c r="E47" s="52">
        <v>-5.14</v>
      </c>
      <c r="F47" s="65">
        <v>16542.08</v>
      </c>
      <c r="G47" s="66"/>
    </row>
    <row r="48" ht="15.75" customHeight="1">
      <c r="A48" s="61">
        <v>45947.0</v>
      </c>
      <c r="B48" s="62" t="s">
        <v>169</v>
      </c>
      <c r="C48" s="63" t="s">
        <v>170</v>
      </c>
      <c r="D48" s="64"/>
      <c r="E48" s="52">
        <v>-9.8</v>
      </c>
      <c r="F48" s="65">
        <v>16532.28</v>
      </c>
      <c r="G48" s="66"/>
    </row>
    <row r="49" ht="15.75" customHeight="1">
      <c r="A49" s="61">
        <v>45950.0</v>
      </c>
      <c r="B49" s="62" t="s">
        <v>189</v>
      </c>
      <c r="C49" s="70" t="s">
        <v>167</v>
      </c>
      <c r="D49" s="64"/>
      <c r="E49" s="52">
        <v>-3060.0</v>
      </c>
      <c r="F49" s="65">
        <v>9477.49</v>
      </c>
      <c r="G49" s="66" t="s">
        <v>190</v>
      </c>
    </row>
    <row r="50" ht="15.75" customHeight="1">
      <c r="A50" s="61">
        <v>45950.0</v>
      </c>
      <c r="B50" s="62" t="s">
        <v>154</v>
      </c>
      <c r="C50" s="68" t="s">
        <v>155</v>
      </c>
      <c r="D50" s="64">
        <v>0.21</v>
      </c>
      <c r="E50" s="52"/>
      <c r="F50" s="65">
        <v>12537.49</v>
      </c>
      <c r="G50" s="66"/>
    </row>
    <row r="51" ht="15.75" customHeight="1">
      <c r="A51" s="61">
        <v>45951.0</v>
      </c>
      <c r="B51" s="62" t="s">
        <v>191</v>
      </c>
      <c r="C51" s="70" t="s">
        <v>167</v>
      </c>
      <c r="D51" s="64"/>
      <c r="E51" s="52">
        <v>-945.0</v>
      </c>
      <c r="F51" s="65">
        <v>8522.77</v>
      </c>
      <c r="G51" s="66" t="s">
        <v>190</v>
      </c>
    </row>
    <row r="52" ht="15.75" customHeight="1">
      <c r="A52" s="61">
        <v>45951.0</v>
      </c>
      <c r="B52" s="62" t="s">
        <v>154</v>
      </c>
      <c r="C52" s="68" t="s">
        <v>155</v>
      </c>
      <c r="D52" s="64">
        <v>0.08</v>
      </c>
      <c r="E52" s="52"/>
      <c r="F52" s="65">
        <v>9477.57</v>
      </c>
      <c r="G52" s="66"/>
    </row>
    <row r="53" ht="15.75" customHeight="1">
      <c r="A53" s="61">
        <v>45951.0</v>
      </c>
      <c r="B53" s="62" t="s">
        <v>169</v>
      </c>
      <c r="C53" s="63" t="s">
        <v>170</v>
      </c>
      <c r="D53" s="64"/>
      <c r="E53" s="52">
        <v>-9.8</v>
      </c>
      <c r="F53" s="65">
        <v>9467.77</v>
      </c>
      <c r="G53" s="66"/>
    </row>
    <row r="54" ht="15.75" customHeight="1">
      <c r="A54" s="61">
        <v>45952.0</v>
      </c>
      <c r="B54" s="62" t="s">
        <v>169</v>
      </c>
      <c r="C54" s="63" t="s">
        <v>170</v>
      </c>
      <c r="D54" s="64"/>
      <c r="E54" s="52">
        <v>-9.8</v>
      </c>
      <c r="F54" s="65">
        <v>8512.97</v>
      </c>
      <c r="G54" s="66"/>
    </row>
    <row r="55" ht="15.75" customHeight="1">
      <c r="A55" s="61">
        <v>45953.0</v>
      </c>
      <c r="B55" s="62" t="s">
        <v>171</v>
      </c>
      <c r="C55" s="71" t="s">
        <v>172</v>
      </c>
      <c r="D55" s="64"/>
      <c r="E55" s="52">
        <v>-200000.0</v>
      </c>
      <c r="F55" s="65">
        <v>9310.11</v>
      </c>
      <c r="G55" s="66"/>
    </row>
    <row r="56" ht="15.75" customHeight="1">
      <c r="A56" s="61">
        <v>45953.0</v>
      </c>
      <c r="B56" s="62" t="s">
        <v>175</v>
      </c>
      <c r="C56" s="71" t="s">
        <v>176</v>
      </c>
      <c r="D56" s="64">
        <v>200806.94</v>
      </c>
      <c r="E56" s="52"/>
      <c r="F56" s="65">
        <v>209319.91</v>
      </c>
      <c r="G56" s="66"/>
    </row>
    <row r="57" ht="15.75" customHeight="1">
      <c r="A57" s="61">
        <v>45953.0</v>
      </c>
      <c r="B57" s="62" t="s">
        <v>169</v>
      </c>
      <c r="C57" s="63" t="s">
        <v>170</v>
      </c>
      <c r="D57" s="64"/>
      <c r="E57" s="52">
        <v>-9.8</v>
      </c>
      <c r="F57" s="65">
        <v>209310.11</v>
      </c>
      <c r="G57" s="66"/>
    </row>
    <row r="58" ht="15.75" customHeight="1">
      <c r="A58" s="61">
        <v>45954.0</v>
      </c>
      <c r="B58" s="62" t="s">
        <v>192</v>
      </c>
      <c r="C58" s="70" t="s">
        <v>167</v>
      </c>
      <c r="D58" s="64"/>
      <c r="E58" s="52">
        <v>-569.0</v>
      </c>
      <c r="F58" s="65">
        <v>8741.19</v>
      </c>
      <c r="G58" s="66" t="s">
        <v>123</v>
      </c>
    </row>
    <row r="59" ht="15.75" customHeight="1">
      <c r="A59" s="61">
        <v>45954.0</v>
      </c>
      <c r="B59" s="62" t="s">
        <v>154</v>
      </c>
      <c r="C59" s="68" t="s">
        <v>155</v>
      </c>
      <c r="D59" s="64">
        <v>0.08</v>
      </c>
      <c r="E59" s="52"/>
      <c r="F59" s="65">
        <v>9310.19</v>
      </c>
      <c r="G59" s="66"/>
    </row>
    <row r="60" ht="15.75" customHeight="1">
      <c r="A60" s="61">
        <v>45957.0</v>
      </c>
      <c r="B60" s="62" t="s">
        <v>193</v>
      </c>
      <c r="C60" s="70" t="s">
        <v>167</v>
      </c>
      <c r="D60" s="64"/>
      <c r="E60" s="52">
        <v>-3950.0</v>
      </c>
      <c r="F60" s="65">
        <v>4791.9</v>
      </c>
      <c r="G60" s="66" t="s">
        <v>194</v>
      </c>
    </row>
    <row r="61" ht="15.75" customHeight="1">
      <c r="A61" s="61">
        <v>45957.0</v>
      </c>
      <c r="B61" s="62" t="s">
        <v>154</v>
      </c>
      <c r="C61" s="68" t="s">
        <v>155</v>
      </c>
      <c r="D61" s="64">
        <v>0.71</v>
      </c>
      <c r="E61" s="52"/>
      <c r="F61" s="65">
        <v>8741.9</v>
      </c>
      <c r="G61" s="66"/>
    </row>
    <row r="62" ht="15.75" customHeight="1">
      <c r="A62" s="61">
        <v>45958.0</v>
      </c>
      <c r="B62" s="62" t="s">
        <v>175</v>
      </c>
      <c r="C62" s="71" t="s">
        <v>176</v>
      </c>
      <c r="D62" s="64">
        <v>2600.01</v>
      </c>
      <c r="E62" s="52"/>
      <c r="F62" s="65">
        <v>7391.91</v>
      </c>
      <c r="G62" s="66"/>
    </row>
    <row r="63" ht="15.75" customHeight="1">
      <c r="A63" s="61">
        <v>45958.0</v>
      </c>
      <c r="B63" s="62" t="s">
        <v>195</v>
      </c>
      <c r="C63" s="70" t="s">
        <v>167</v>
      </c>
      <c r="D63" s="64"/>
      <c r="E63" s="52">
        <v>-4722.74</v>
      </c>
      <c r="F63" s="65">
        <v>2670.0</v>
      </c>
      <c r="G63" s="66" t="s">
        <v>196</v>
      </c>
    </row>
    <row r="64" ht="15.75" customHeight="1">
      <c r="A64" s="61">
        <v>45958.0</v>
      </c>
      <c r="B64" s="62" t="s">
        <v>197</v>
      </c>
      <c r="C64" s="70" t="s">
        <v>167</v>
      </c>
      <c r="D64" s="64"/>
      <c r="E64" s="52">
        <v>-2669.0</v>
      </c>
      <c r="F64" s="65">
        <v>1.0</v>
      </c>
      <c r="G64" s="66" t="s">
        <v>198</v>
      </c>
    </row>
    <row r="65" ht="15.75" customHeight="1">
      <c r="A65" s="61">
        <v>45958.0</v>
      </c>
      <c r="B65" s="62" t="s">
        <v>154</v>
      </c>
      <c r="C65" s="68" t="s">
        <v>155</v>
      </c>
      <c r="D65" s="64">
        <v>0.81</v>
      </c>
      <c r="E65" s="52"/>
      <c r="F65" s="65">
        <v>7392.72</v>
      </c>
      <c r="G65" s="66"/>
    </row>
    <row r="66" ht="15.75" customHeight="1">
      <c r="A66" s="61">
        <v>45958.0</v>
      </c>
      <c r="B66" s="62" t="s">
        <v>154</v>
      </c>
      <c r="C66" s="68" t="s">
        <v>155</v>
      </c>
      <c r="D66" s="64">
        <v>0.02</v>
      </c>
      <c r="E66" s="52"/>
      <c r="F66" s="65">
        <v>7392.74</v>
      </c>
      <c r="G66" s="66"/>
    </row>
    <row r="67" ht="15.75" customHeight="1">
      <c r="A67" s="61">
        <v>45959.0</v>
      </c>
      <c r="B67" s="62" t="s">
        <v>175</v>
      </c>
      <c r="C67" s="71" t="s">
        <v>176</v>
      </c>
      <c r="D67" s="64">
        <v>100.0</v>
      </c>
      <c r="E67" s="52"/>
      <c r="F67" s="65">
        <v>101.0</v>
      </c>
      <c r="G67" s="66"/>
    </row>
    <row r="68" ht="15.75" customHeight="1">
      <c r="A68" s="61">
        <v>45959.0</v>
      </c>
      <c r="B68" s="62" t="s">
        <v>169</v>
      </c>
      <c r="C68" s="63" t="s">
        <v>170</v>
      </c>
      <c r="D68" s="64"/>
      <c r="E68" s="52">
        <v>-9.8</v>
      </c>
      <c r="F68" s="65">
        <v>91.2</v>
      </c>
      <c r="G68" s="66"/>
    </row>
    <row r="69" ht="15.75" customHeight="1">
      <c r="A69" s="61">
        <v>45960.0</v>
      </c>
      <c r="B69" s="62" t="s">
        <v>175</v>
      </c>
      <c r="C69" s="71" t="s">
        <v>176</v>
      </c>
      <c r="D69" s="64">
        <v>891.88</v>
      </c>
      <c r="E69" s="52"/>
      <c r="F69" s="65">
        <v>983.08</v>
      </c>
      <c r="G69" s="66"/>
    </row>
    <row r="70" ht="15.75" customHeight="1">
      <c r="A70" s="61">
        <v>45960.0</v>
      </c>
      <c r="B70" s="62" t="s">
        <v>199</v>
      </c>
      <c r="C70" s="70" t="s">
        <v>167</v>
      </c>
      <c r="D70" s="64"/>
      <c r="E70" s="52">
        <v>-422.48</v>
      </c>
      <c r="F70" s="65">
        <v>541.0</v>
      </c>
      <c r="G70" s="66" t="s">
        <v>200</v>
      </c>
    </row>
    <row r="71" ht="15.75" customHeight="1">
      <c r="A71" s="61">
        <v>45960.0</v>
      </c>
      <c r="B71" s="62" t="s">
        <v>201</v>
      </c>
      <c r="C71" s="70" t="s">
        <v>167</v>
      </c>
      <c r="D71" s="64"/>
      <c r="E71" s="52">
        <v>-540.0</v>
      </c>
      <c r="F71" s="65">
        <v>1.0</v>
      </c>
      <c r="G71" s="66" t="s">
        <v>202</v>
      </c>
    </row>
    <row r="72" ht="15.75" customHeight="1">
      <c r="A72" s="61">
        <v>45960.0</v>
      </c>
      <c r="B72" s="62" t="s">
        <v>169</v>
      </c>
      <c r="C72" s="63" t="s">
        <v>170</v>
      </c>
      <c r="D72" s="64"/>
      <c r="E72" s="52">
        <v>-9.8</v>
      </c>
      <c r="F72" s="65">
        <v>973.28</v>
      </c>
      <c r="G72" s="66"/>
    </row>
    <row r="73" ht="15.75" customHeight="1">
      <c r="A73" s="61">
        <v>45960.0</v>
      </c>
      <c r="B73" s="62" t="s">
        <v>169</v>
      </c>
      <c r="C73" s="63" t="s">
        <v>170</v>
      </c>
      <c r="D73" s="64"/>
      <c r="E73" s="52">
        <v>-9.8</v>
      </c>
      <c r="F73" s="65">
        <v>963.48</v>
      </c>
      <c r="G73" s="66"/>
    </row>
    <row r="74" ht="15.75" customHeight="1">
      <c r="A74" s="61">
        <v>45964.0</v>
      </c>
      <c r="B74" s="62" t="s">
        <v>175</v>
      </c>
      <c r="C74" s="71" t="s">
        <v>176</v>
      </c>
      <c r="D74" s="64">
        <v>4235.75</v>
      </c>
      <c r="E74" s="52"/>
      <c r="F74" s="65">
        <v>4236.75</v>
      </c>
      <c r="G74" s="66"/>
    </row>
    <row r="75" ht="15.75" customHeight="1">
      <c r="A75" s="61">
        <v>45964.0</v>
      </c>
      <c r="B75" s="62" t="s">
        <v>203</v>
      </c>
      <c r="C75" s="70" t="s">
        <v>167</v>
      </c>
      <c r="D75" s="64"/>
      <c r="E75" s="52">
        <v>-2630.0</v>
      </c>
      <c r="F75" s="65">
        <v>1519.0</v>
      </c>
      <c r="G75" s="66" t="s">
        <v>107</v>
      </c>
    </row>
    <row r="76" ht="15.75" customHeight="1">
      <c r="A76" s="61">
        <v>45964.0</v>
      </c>
      <c r="B76" s="62" t="s">
        <v>204</v>
      </c>
      <c r="C76" s="70" t="s">
        <v>167</v>
      </c>
      <c r="D76" s="64"/>
      <c r="E76" s="52">
        <v>-1518.0</v>
      </c>
      <c r="F76" s="65">
        <v>1.0</v>
      </c>
      <c r="G76" s="66" t="s">
        <v>174</v>
      </c>
    </row>
    <row r="77" ht="15.75" customHeight="1">
      <c r="A77" s="61">
        <v>45964.0</v>
      </c>
      <c r="B77" s="62" t="s">
        <v>156</v>
      </c>
      <c r="C77" s="63" t="s">
        <v>157</v>
      </c>
      <c r="D77" s="64"/>
      <c r="E77" s="52">
        <v>-73.8</v>
      </c>
      <c r="F77" s="65">
        <v>4162.95</v>
      </c>
      <c r="G77" s="66"/>
    </row>
    <row r="78" ht="15.75" customHeight="1">
      <c r="A78" s="61">
        <v>45964.0</v>
      </c>
      <c r="B78" s="62" t="s">
        <v>169</v>
      </c>
      <c r="C78" s="63" t="s">
        <v>170</v>
      </c>
      <c r="D78" s="64"/>
      <c r="E78" s="52">
        <v>-6.12</v>
      </c>
      <c r="F78" s="65">
        <v>4156.83</v>
      </c>
      <c r="G78" s="66"/>
    </row>
    <row r="79" ht="15.75" customHeight="1">
      <c r="A79" s="61">
        <v>45964.0</v>
      </c>
      <c r="B79" s="62" t="s">
        <v>169</v>
      </c>
      <c r="C79" s="63" t="s">
        <v>170</v>
      </c>
      <c r="D79" s="64"/>
      <c r="E79" s="52">
        <v>-7.83</v>
      </c>
      <c r="F79" s="65">
        <v>4149.0</v>
      </c>
      <c r="G79" s="66"/>
    </row>
    <row r="80" ht="15.75" customHeight="1">
      <c r="A80" s="61">
        <v>45965.0</v>
      </c>
      <c r="B80" s="62" t="s">
        <v>175</v>
      </c>
      <c r="C80" s="71" t="s">
        <v>176</v>
      </c>
      <c r="D80" s="64">
        <v>100.0</v>
      </c>
      <c r="E80" s="52"/>
      <c r="F80" s="65">
        <v>101.0</v>
      </c>
      <c r="G80" s="66"/>
    </row>
    <row r="81" ht="15.75" customHeight="1">
      <c r="A81" s="61">
        <v>45965.0</v>
      </c>
      <c r="B81" s="62" t="s">
        <v>169</v>
      </c>
      <c r="C81" s="63" t="s">
        <v>170</v>
      </c>
      <c r="D81" s="64"/>
      <c r="E81" s="52">
        <v>-9.8</v>
      </c>
      <c r="F81" s="65">
        <v>91.2</v>
      </c>
      <c r="G81" s="66"/>
    </row>
    <row r="82" ht="15.75" customHeight="1">
      <c r="A82" s="61">
        <v>45965.0</v>
      </c>
      <c r="B82" s="62" t="s">
        <v>169</v>
      </c>
      <c r="C82" s="63" t="s">
        <v>170</v>
      </c>
      <c r="D82" s="64"/>
      <c r="E82" s="52">
        <v>-9.8</v>
      </c>
      <c r="F82" s="65">
        <v>81.4</v>
      </c>
      <c r="G82" s="66"/>
    </row>
    <row r="83" ht="15.75" customHeight="1">
      <c r="A83" s="61">
        <v>45966.0</v>
      </c>
      <c r="B83" s="62" t="s">
        <v>175</v>
      </c>
      <c r="C83" s="71" t="s">
        <v>176</v>
      </c>
      <c r="D83" s="64">
        <v>9919.6</v>
      </c>
      <c r="E83" s="52"/>
      <c r="F83" s="65">
        <v>10001.0</v>
      </c>
      <c r="G83" s="66"/>
    </row>
    <row r="84" ht="15.75" customHeight="1">
      <c r="A84" s="61">
        <v>45966.0</v>
      </c>
      <c r="B84" s="62" t="s">
        <v>205</v>
      </c>
      <c r="C84" s="70" t="s">
        <v>167</v>
      </c>
      <c r="D84" s="64"/>
      <c r="E84" s="52">
        <v>-10000.0</v>
      </c>
      <c r="F84" s="65">
        <v>1.0</v>
      </c>
      <c r="G84" s="66" t="s">
        <v>206</v>
      </c>
    </row>
    <row r="85" ht="15.75" customHeight="1">
      <c r="A85" s="61">
        <v>45968.0</v>
      </c>
      <c r="B85" s="62" t="s">
        <v>175</v>
      </c>
      <c r="C85" s="71" t="s">
        <v>176</v>
      </c>
      <c r="D85" s="64">
        <v>100.0</v>
      </c>
      <c r="E85" s="52"/>
      <c r="F85" s="65">
        <v>101.0</v>
      </c>
      <c r="G85" s="66"/>
    </row>
    <row r="86" ht="15.75" customHeight="1">
      <c r="A86" s="61">
        <v>45968.0</v>
      </c>
      <c r="B86" s="62" t="s">
        <v>146</v>
      </c>
      <c r="C86" s="63" t="s">
        <v>147</v>
      </c>
      <c r="D86" s="64"/>
      <c r="E86" s="52">
        <v>-13.4</v>
      </c>
      <c r="F86" s="65">
        <v>87.6</v>
      </c>
      <c r="G86" s="66"/>
    </row>
    <row r="87" ht="15.75" customHeight="1">
      <c r="A87" s="61">
        <v>45968.0</v>
      </c>
      <c r="B87" s="62" t="s">
        <v>169</v>
      </c>
      <c r="C87" s="63" t="s">
        <v>170</v>
      </c>
      <c r="D87" s="64"/>
      <c r="E87" s="52">
        <v>-9.8</v>
      </c>
      <c r="F87" s="65">
        <v>77.8</v>
      </c>
      <c r="G87" s="66"/>
    </row>
    <row r="88" ht="15.75" customHeight="1">
      <c r="A88" s="61">
        <v>45971.0</v>
      </c>
      <c r="B88" s="62" t="s">
        <v>175</v>
      </c>
      <c r="C88" s="71" t="s">
        <v>176</v>
      </c>
      <c r="D88" s="64">
        <v>7061.53</v>
      </c>
      <c r="E88" s="52"/>
      <c r="F88" s="65">
        <v>7139.33</v>
      </c>
      <c r="G88" s="66"/>
    </row>
    <row r="89" ht="15.75" customHeight="1">
      <c r="A89" s="61">
        <v>45971.0</v>
      </c>
      <c r="B89" s="62" t="s">
        <v>207</v>
      </c>
      <c r="C89" s="70" t="s">
        <v>167</v>
      </c>
      <c r="D89" s="64"/>
      <c r="E89" s="52">
        <v>-6800.0</v>
      </c>
      <c r="F89" s="65">
        <v>1.0</v>
      </c>
      <c r="G89" s="66" t="s">
        <v>208</v>
      </c>
    </row>
    <row r="90" ht="15.75" customHeight="1">
      <c r="A90" s="61">
        <v>45971.0</v>
      </c>
      <c r="B90" s="62" t="s">
        <v>209</v>
      </c>
      <c r="C90" s="70" t="s">
        <v>210</v>
      </c>
      <c r="D90" s="64"/>
      <c r="E90" s="52">
        <v>-338.33</v>
      </c>
      <c r="F90" s="65">
        <v>6801.0</v>
      </c>
      <c r="G90" s="66"/>
    </row>
    <row r="91" ht="15.75" customHeight="1">
      <c r="A91" s="61">
        <v>45973.0</v>
      </c>
      <c r="B91" s="62" t="s">
        <v>175</v>
      </c>
      <c r="C91" s="71" t="s">
        <v>176</v>
      </c>
      <c r="D91" s="64">
        <v>100.0</v>
      </c>
      <c r="E91" s="52"/>
      <c r="F91" s="65">
        <v>101.0</v>
      </c>
      <c r="G91" s="66"/>
    </row>
    <row r="92" ht="15.75" customHeight="1">
      <c r="A92" s="61">
        <v>45973.0</v>
      </c>
      <c r="B92" s="62" t="s">
        <v>169</v>
      </c>
      <c r="C92" s="63" t="s">
        <v>170</v>
      </c>
      <c r="D92" s="64"/>
      <c r="E92" s="52">
        <v>-9.8</v>
      </c>
      <c r="F92" s="65">
        <v>91.2</v>
      </c>
      <c r="G92" s="66"/>
    </row>
    <row r="93" ht="15.75" customHeight="1">
      <c r="A93" s="61">
        <v>45974.0</v>
      </c>
      <c r="B93" s="62" t="s">
        <v>175</v>
      </c>
      <c r="C93" s="71" t="s">
        <v>176</v>
      </c>
      <c r="D93" s="64">
        <v>100.0</v>
      </c>
      <c r="E93" s="52"/>
      <c r="F93" s="65">
        <v>191.2</v>
      </c>
      <c r="G93" s="66"/>
    </row>
    <row r="94" ht="15.75" customHeight="1">
      <c r="A94" s="61">
        <v>45974.0</v>
      </c>
      <c r="B94" s="62" t="s">
        <v>161</v>
      </c>
      <c r="C94" s="63" t="s">
        <v>162</v>
      </c>
      <c r="D94" s="64"/>
      <c r="E94" s="52">
        <v>-108.0</v>
      </c>
      <c r="F94" s="65">
        <v>83.2</v>
      </c>
      <c r="G94" s="66"/>
    </row>
    <row r="95" ht="15.75" customHeight="1">
      <c r="A95" s="61">
        <v>45975.0</v>
      </c>
      <c r="B95" s="62" t="s">
        <v>211</v>
      </c>
      <c r="C95" s="72" t="s">
        <v>212</v>
      </c>
      <c r="D95" s="64"/>
      <c r="E95" s="52">
        <v>-166.98</v>
      </c>
      <c r="F95" s="65">
        <v>16.22</v>
      </c>
      <c r="G95" s="66"/>
    </row>
    <row r="96" ht="15.75" customHeight="1">
      <c r="A96" s="61">
        <v>45975.0</v>
      </c>
      <c r="B96" s="62" t="s">
        <v>175</v>
      </c>
      <c r="C96" s="71" t="s">
        <v>176</v>
      </c>
      <c r="D96" s="64">
        <v>100.0</v>
      </c>
      <c r="E96" s="52"/>
      <c r="F96" s="65">
        <v>183.2</v>
      </c>
      <c r="G96" s="66"/>
    </row>
    <row r="97" ht="15.75" customHeight="1">
      <c r="A97" s="61">
        <v>45987.0</v>
      </c>
      <c r="B97" s="62" t="s">
        <v>175</v>
      </c>
      <c r="C97" s="71" t="s">
        <v>176</v>
      </c>
      <c r="D97" s="64">
        <v>1502.78</v>
      </c>
      <c r="E97" s="52"/>
      <c r="F97" s="65">
        <v>1519.0</v>
      </c>
      <c r="G97" s="66"/>
    </row>
    <row r="98" ht="15.75" customHeight="1">
      <c r="A98" s="61">
        <v>45987.0</v>
      </c>
      <c r="B98" s="62" t="s">
        <v>213</v>
      </c>
      <c r="C98" s="70" t="s">
        <v>167</v>
      </c>
      <c r="D98" s="64"/>
      <c r="E98" s="52">
        <v>-1518.0</v>
      </c>
      <c r="F98" s="65">
        <v>1.0</v>
      </c>
      <c r="G98" s="66" t="s">
        <v>174</v>
      </c>
    </row>
    <row r="99" ht="15.75" customHeight="1">
      <c r="A99" s="61">
        <v>45989.0</v>
      </c>
      <c r="B99" s="62" t="s">
        <v>175</v>
      </c>
      <c r="C99" s="71" t="s">
        <v>176</v>
      </c>
      <c r="D99" s="64">
        <v>24370.3</v>
      </c>
      <c r="E99" s="52"/>
      <c r="F99" s="65">
        <v>24371.3</v>
      </c>
      <c r="G99" s="66"/>
    </row>
    <row r="100" ht="15.75" customHeight="1">
      <c r="A100" s="61">
        <v>45989.0</v>
      </c>
      <c r="B100" s="62" t="s">
        <v>214</v>
      </c>
      <c r="C100" s="70" t="s">
        <v>167</v>
      </c>
      <c r="D100" s="64"/>
      <c r="E100" s="52">
        <v>-24360.5</v>
      </c>
      <c r="F100" s="65">
        <v>1.0</v>
      </c>
      <c r="G100" s="66" t="s">
        <v>96</v>
      </c>
    </row>
    <row r="101" ht="15.75" customHeight="1">
      <c r="A101" s="61">
        <v>45989.0</v>
      </c>
      <c r="B101" s="62" t="s">
        <v>169</v>
      </c>
      <c r="C101" s="63" t="s">
        <v>170</v>
      </c>
      <c r="D101" s="64"/>
      <c r="E101" s="52">
        <v>-9.8</v>
      </c>
      <c r="F101" s="65">
        <v>24361.5</v>
      </c>
      <c r="G101" s="66"/>
    </row>
    <row r="102" ht="15.75" customHeight="1">
      <c r="A102" s="61">
        <v>45992.0</v>
      </c>
      <c r="B102" s="62" t="s">
        <v>175</v>
      </c>
      <c r="C102" s="71" t="s">
        <v>176</v>
      </c>
      <c r="D102" s="64">
        <v>5949.46</v>
      </c>
      <c r="E102" s="52"/>
      <c r="F102" s="65">
        <v>5950.46</v>
      </c>
      <c r="G102" s="66"/>
    </row>
    <row r="103" ht="15.75" customHeight="1">
      <c r="A103" s="61">
        <v>45992.0</v>
      </c>
      <c r="B103" s="62" t="s">
        <v>215</v>
      </c>
      <c r="C103" s="70" t="s">
        <v>167</v>
      </c>
      <c r="D103" s="64"/>
      <c r="E103" s="52">
        <v>-5875.66</v>
      </c>
      <c r="F103" s="65">
        <v>1.0</v>
      </c>
      <c r="G103" s="66" t="s">
        <v>168</v>
      </c>
    </row>
    <row r="104" ht="15.75" customHeight="1">
      <c r="A104" s="61">
        <v>45992.0</v>
      </c>
      <c r="B104" s="62" t="s">
        <v>156</v>
      </c>
      <c r="C104" s="63" t="s">
        <v>157</v>
      </c>
      <c r="D104" s="64"/>
      <c r="E104" s="52">
        <v>-73.8</v>
      </c>
      <c r="F104" s="65">
        <v>5876.66</v>
      </c>
      <c r="G104" s="66"/>
    </row>
    <row r="105" ht="15.75" customHeight="1">
      <c r="A105" s="61">
        <v>45993.0</v>
      </c>
      <c r="B105" s="62" t="s">
        <v>175</v>
      </c>
      <c r="C105" s="71" t="s">
        <v>176</v>
      </c>
      <c r="D105" s="64">
        <v>1871.55</v>
      </c>
      <c r="E105" s="52"/>
      <c r="F105" s="65">
        <v>1872.55</v>
      </c>
      <c r="G105" s="66"/>
    </row>
    <row r="106" ht="15.75" customHeight="1">
      <c r="A106" s="61">
        <v>45993.0</v>
      </c>
      <c r="B106" s="62" t="s">
        <v>216</v>
      </c>
      <c r="C106" s="70" t="s">
        <v>167</v>
      </c>
      <c r="D106" s="64"/>
      <c r="E106" s="52">
        <v>-1861.75</v>
      </c>
      <c r="F106" s="65">
        <v>1.0</v>
      </c>
      <c r="G106" s="66" t="s">
        <v>217</v>
      </c>
    </row>
    <row r="107" ht="15.75" customHeight="1">
      <c r="A107" s="61">
        <v>45993.0</v>
      </c>
      <c r="B107" s="62" t="s">
        <v>169</v>
      </c>
      <c r="C107" s="63" t="s">
        <v>170</v>
      </c>
      <c r="D107" s="64"/>
      <c r="E107" s="52">
        <v>-9.8</v>
      </c>
      <c r="F107" s="65">
        <v>1862.75</v>
      </c>
      <c r="G107" s="66"/>
    </row>
    <row r="108" ht="15.75" customHeight="1">
      <c r="A108" s="61">
        <v>45994.0</v>
      </c>
      <c r="B108" s="62" t="s">
        <v>175</v>
      </c>
      <c r="C108" s="71" t="s">
        <v>176</v>
      </c>
      <c r="D108" s="64">
        <v>100.0</v>
      </c>
      <c r="E108" s="52"/>
      <c r="F108" s="65">
        <v>101.0</v>
      </c>
      <c r="G108" s="66"/>
    </row>
    <row r="109" ht="15.75" customHeight="1">
      <c r="A109" s="61">
        <v>45994.0</v>
      </c>
      <c r="B109" s="62" t="s">
        <v>169</v>
      </c>
      <c r="C109" s="63" t="s">
        <v>170</v>
      </c>
      <c r="D109" s="64"/>
      <c r="E109" s="52">
        <v>-9.8</v>
      </c>
      <c r="F109" s="65">
        <v>91.2</v>
      </c>
      <c r="G109" s="66"/>
    </row>
    <row r="110" ht="15.75" customHeight="1">
      <c r="A110" s="61">
        <v>45995.0</v>
      </c>
      <c r="B110" s="62" t="s">
        <v>169</v>
      </c>
      <c r="C110" s="63" t="s">
        <v>170</v>
      </c>
      <c r="D110" s="64"/>
      <c r="E110" s="52">
        <v>-9.8</v>
      </c>
      <c r="F110" s="65">
        <v>81.4</v>
      </c>
      <c r="G110" s="66"/>
    </row>
    <row r="111" ht="15.75" customHeight="1">
      <c r="A111" s="61">
        <v>45996.0</v>
      </c>
      <c r="B111" s="62" t="s">
        <v>175</v>
      </c>
      <c r="C111" s="71" t="s">
        <v>176</v>
      </c>
      <c r="D111" s="64">
        <v>7313.55</v>
      </c>
      <c r="E111" s="52"/>
      <c r="F111" s="65">
        <v>7394.95</v>
      </c>
      <c r="G111" s="66"/>
    </row>
    <row r="112" ht="15.75" customHeight="1">
      <c r="A112" s="61">
        <v>45996.0</v>
      </c>
      <c r="B112" s="62" t="s">
        <v>218</v>
      </c>
      <c r="C112" s="70" t="s">
        <v>167</v>
      </c>
      <c r="D112" s="64"/>
      <c r="E112" s="52">
        <v>-7393.95</v>
      </c>
      <c r="F112" s="65">
        <v>1.0</v>
      </c>
      <c r="G112" s="66" t="s">
        <v>219</v>
      </c>
    </row>
    <row r="113" ht="15.75" customHeight="1">
      <c r="A113" s="61">
        <v>46000.0</v>
      </c>
      <c r="B113" s="62" t="s">
        <v>175</v>
      </c>
      <c r="C113" s="71" t="s">
        <v>176</v>
      </c>
      <c r="D113" s="64">
        <v>100.0</v>
      </c>
      <c r="E113" s="52"/>
      <c r="F113" s="65">
        <v>101.0</v>
      </c>
      <c r="G113" s="66"/>
    </row>
    <row r="114" ht="15.75" customHeight="1">
      <c r="A114" s="61">
        <v>46000.0</v>
      </c>
      <c r="B114" s="62" t="s">
        <v>169</v>
      </c>
      <c r="C114" s="63" t="s">
        <v>170</v>
      </c>
      <c r="D114" s="64"/>
      <c r="E114" s="52">
        <v>-9.8</v>
      </c>
      <c r="F114" s="65">
        <v>91.2</v>
      </c>
      <c r="G114" s="66"/>
    </row>
    <row r="115" ht="15.75" customHeight="1">
      <c r="A115" s="61">
        <v>46007.0</v>
      </c>
      <c r="B115" s="62" t="s">
        <v>211</v>
      </c>
      <c r="C115" s="72" t="s">
        <v>212</v>
      </c>
      <c r="D115" s="64"/>
      <c r="E115" s="52">
        <v>-166.98</v>
      </c>
      <c r="F115" s="65">
        <v>24.22</v>
      </c>
      <c r="G115" s="66"/>
    </row>
    <row r="116" ht="15.75" customHeight="1">
      <c r="A116" s="61">
        <v>46007.0</v>
      </c>
      <c r="B116" s="62" t="s">
        <v>175</v>
      </c>
      <c r="C116" s="71" t="s">
        <v>176</v>
      </c>
      <c r="D116" s="64">
        <v>100.0</v>
      </c>
      <c r="E116" s="52"/>
      <c r="F116" s="65">
        <v>191.2</v>
      </c>
      <c r="G116" s="66"/>
    </row>
    <row r="117" ht="15.75" customHeight="1">
      <c r="A117" s="61">
        <v>46017.0</v>
      </c>
      <c r="B117" s="62" t="s">
        <v>175</v>
      </c>
      <c r="C117" s="71" t="s">
        <v>176</v>
      </c>
      <c r="D117" s="64">
        <v>1494.78</v>
      </c>
      <c r="E117" s="52"/>
      <c r="F117" s="65">
        <v>1519.0</v>
      </c>
      <c r="G117" s="66"/>
    </row>
    <row r="118" ht="15.75" customHeight="1">
      <c r="A118" s="61">
        <v>46017.0</v>
      </c>
      <c r="B118" s="62" t="s">
        <v>220</v>
      </c>
      <c r="C118" s="70" t="s">
        <v>167</v>
      </c>
      <c r="D118" s="64"/>
      <c r="E118" s="52">
        <v>-1518.0</v>
      </c>
      <c r="F118" s="65">
        <v>1.0</v>
      </c>
      <c r="G118" s="66" t="s">
        <v>174</v>
      </c>
    </row>
    <row r="119" ht="15.75" customHeight="1">
      <c r="A119" s="61">
        <v>46020.0</v>
      </c>
      <c r="B119" s="62" t="s">
        <v>175</v>
      </c>
      <c r="C119" s="71" t="s">
        <v>176</v>
      </c>
      <c r="D119" s="64">
        <v>354.84</v>
      </c>
      <c r="E119" s="52"/>
      <c r="F119" s="65">
        <v>355.84</v>
      </c>
      <c r="G119" s="66"/>
    </row>
    <row r="120" ht="15.75" customHeight="1">
      <c r="A120" s="61">
        <v>46020.0</v>
      </c>
      <c r="B120" s="62" t="s">
        <v>221</v>
      </c>
      <c r="C120" s="70" t="s">
        <v>167</v>
      </c>
      <c r="D120" s="64"/>
      <c r="E120" s="52">
        <v>-354.84</v>
      </c>
      <c r="F120" s="65">
        <v>1.0</v>
      </c>
      <c r="G120" s="66" t="s">
        <v>174</v>
      </c>
    </row>
    <row r="121" ht="15.75" customHeight="1">
      <c r="A121" s="61">
        <v>46021.0</v>
      </c>
      <c r="B121" s="62" t="s">
        <v>175</v>
      </c>
      <c r="C121" s="71" t="s">
        <v>176</v>
      </c>
      <c r="D121" s="64">
        <v>100.0</v>
      </c>
      <c r="E121" s="52"/>
      <c r="F121" s="65">
        <v>101.0</v>
      </c>
      <c r="G121" s="66"/>
    </row>
    <row r="122" ht="15.75" customHeight="1">
      <c r="A122" s="61">
        <v>46021.0</v>
      </c>
      <c r="B122" s="62" t="s">
        <v>169</v>
      </c>
      <c r="C122" s="63" t="s">
        <v>170</v>
      </c>
      <c r="D122" s="64"/>
      <c r="E122" s="52">
        <v>-9.8</v>
      </c>
      <c r="F122" s="65">
        <v>91.2</v>
      </c>
      <c r="G122" s="66"/>
    </row>
    <row r="123" ht="15.75" customHeight="1">
      <c r="A123" s="61">
        <v>46024.0</v>
      </c>
      <c r="B123" s="62" t="s">
        <v>156</v>
      </c>
      <c r="C123" s="63" t="s">
        <v>157</v>
      </c>
      <c r="D123" s="64"/>
      <c r="E123" s="52">
        <v>-73.8</v>
      </c>
      <c r="F123" s="65">
        <v>17.4</v>
      </c>
      <c r="G123" s="66"/>
    </row>
    <row r="124" ht="15.75" customHeight="1">
      <c r="A124" s="61">
        <v>46024.0</v>
      </c>
      <c r="B124" s="62" t="s">
        <v>169</v>
      </c>
      <c r="C124" s="63" t="s">
        <v>170</v>
      </c>
      <c r="D124" s="64"/>
      <c r="E124" s="52">
        <v>-5.14</v>
      </c>
      <c r="F124" s="65">
        <v>12.26</v>
      </c>
      <c r="G124" s="66"/>
    </row>
    <row r="125" ht="15.75" customHeight="1">
      <c r="A125" s="61">
        <v>46027.0</v>
      </c>
      <c r="B125" s="62" t="s">
        <v>175</v>
      </c>
      <c r="C125" s="71" t="s">
        <v>176</v>
      </c>
      <c r="D125" s="64">
        <v>3223.95</v>
      </c>
      <c r="E125" s="52"/>
      <c r="F125" s="65">
        <v>3236.21</v>
      </c>
      <c r="G125" s="66"/>
    </row>
    <row r="126" ht="15.75" customHeight="1">
      <c r="A126" s="61">
        <v>46027.0</v>
      </c>
      <c r="B126" s="62" t="s">
        <v>222</v>
      </c>
      <c r="C126" s="70" t="s">
        <v>167</v>
      </c>
      <c r="D126" s="64"/>
      <c r="E126" s="52">
        <v>-1417.0</v>
      </c>
      <c r="F126" s="65">
        <v>1819.21</v>
      </c>
      <c r="G126" s="66" t="s">
        <v>115</v>
      </c>
    </row>
    <row r="127" ht="15.75" customHeight="1">
      <c r="A127" s="61">
        <v>46027.0</v>
      </c>
      <c r="B127" s="62" t="s">
        <v>223</v>
      </c>
      <c r="C127" s="70" t="s">
        <v>167</v>
      </c>
      <c r="D127" s="64"/>
      <c r="E127" s="52">
        <v>-1818.21</v>
      </c>
      <c r="F127" s="65">
        <v>1.0</v>
      </c>
      <c r="G127" s="66" t="s">
        <v>224</v>
      </c>
    </row>
    <row r="128" ht="15.75" customHeight="1">
      <c r="A128" s="61">
        <v>46028.0</v>
      </c>
      <c r="B128" s="62" t="s">
        <v>175</v>
      </c>
      <c r="C128" s="71" t="s">
        <v>176</v>
      </c>
      <c r="D128" s="64">
        <v>1944.54</v>
      </c>
      <c r="E128" s="52"/>
      <c r="F128" s="65">
        <v>1945.54</v>
      </c>
      <c r="G128" s="66"/>
    </row>
    <row r="129" ht="15.75" customHeight="1">
      <c r="A129" s="61">
        <v>46028.0</v>
      </c>
      <c r="B129" s="62" t="s">
        <v>225</v>
      </c>
      <c r="C129" s="70" t="s">
        <v>167</v>
      </c>
      <c r="D129" s="64"/>
      <c r="E129" s="52">
        <v>-756.84</v>
      </c>
      <c r="F129" s="65">
        <v>1188.7</v>
      </c>
      <c r="G129" s="66" t="s">
        <v>115</v>
      </c>
    </row>
    <row r="130" ht="15.75" customHeight="1">
      <c r="A130" s="61">
        <v>46028.0</v>
      </c>
      <c r="B130" s="62" t="s">
        <v>226</v>
      </c>
      <c r="C130" s="70" t="s">
        <v>167</v>
      </c>
      <c r="D130" s="64"/>
      <c r="E130" s="52">
        <v>-1187.7</v>
      </c>
      <c r="F130" s="65">
        <v>1.0</v>
      </c>
      <c r="G130" s="66" t="s">
        <v>227</v>
      </c>
    </row>
    <row r="131" ht="15.75" customHeight="1">
      <c r="A131" s="61">
        <v>46029.0</v>
      </c>
      <c r="B131" s="62" t="s">
        <v>175</v>
      </c>
      <c r="C131" s="71" t="s">
        <v>176</v>
      </c>
      <c r="D131" s="64">
        <v>100.0</v>
      </c>
      <c r="E131" s="52"/>
      <c r="F131" s="65">
        <v>101.0</v>
      </c>
      <c r="G131" s="66"/>
    </row>
    <row r="132" ht="15.75" customHeight="1">
      <c r="A132" s="61">
        <v>46029.0</v>
      </c>
      <c r="B132" s="62" t="s">
        <v>169</v>
      </c>
      <c r="C132" s="63" t="s">
        <v>170</v>
      </c>
      <c r="D132" s="64"/>
      <c r="E132" s="52">
        <v>-9.8</v>
      </c>
      <c r="F132" s="65">
        <v>91.2</v>
      </c>
      <c r="G132" s="66"/>
    </row>
    <row r="133" ht="15.75" customHeight="1">
      <c r="A133" s="61">
        <v>46030.0</v>
      </c>
      <c r="B133" s="62" t="s">
        <v>169</v>
      </c>
      <c r="C133" s="63" t="s">
        <v>170</v>
      </c>
      <c r="D133" s="64"/>
      <c r="E133" s="52">
        <v>-9.8</v>
      </c>
      <c r="F133" s="65">
        <v>81.4</v>
      </c>
      <c r="G133" s="66"/>
    </row>
    <row r="134" ht="15.75" customHeight="1">
      <c r="A134" s="61">
        <v>46030.0</v>
      </c>
      <c r="B134" s="62" t="s">
        <v>169</v>
      </c>
      <c r="C134" s="63" t="s">
        <v>170</v>
      </c>
      <c r="D134" s="64"/>
      <c r="E134" s="52">
        <v>-9.8</v>
      </c>
      <c r="F134" s="65">
        <v>71.6</v>
      </c>
      <c r="G134" s="66"/>
    </row>
    <row r="135" ht="15.75" customHeight="1">
      <c r="A135" s="61">
        <v>46031.0</v>
      </c>
      <c r="B135" s="62" t="s">
        <v>175</v>
      </c>
      <c r="C135" s="71" t="s">
        <v>176</v>
      </c>
      <c r="D135" s="64">
        <v>284.24</v>
      </c>
      <c r="E135" s="52"/>
      <c r="F135" s="65">
        <v>355.84</v>
      </c>
      <c r="G135" s="66"/>
    </row>
    <row r="136" ht="15.75" customHeight="1">
      <c r="A136" s="61">
        <v>46031.0</v>
      </c>
      <c r="B136" s="62" t="s">
        <v>228</v>
      </c>
      <c r="C136" s="70" t="s">
        <v>167</v>
      </c>
      <c r="D136" s="64"/>
      <c r="E136" s="52">
        <v>-354.84</v>
      </c>
      <c r="F136" s="65">
        <v>1.0</v>
      </c>
      <c r="G136" s="66" t="s">
        <v>174</v>
      </c>
    </row>
    <row r="137" ht="15.75" customHeight="1">
      <c r="A137" s="61">
        <v>46035.0</v>
      </c>
      <c r="B137" s="62" t="s">
        <v>175</v>
      </c>
      <c r="C137" s="71" t="s">
        <v>176</v>
      </c>
      <c r="D137" s="64">
        <v>100.0</v>
      </c>
      <c r="E137" s="52"/>
      <c r="F137" s="65">
        <v>101.0</v>
      </c>
      <c r="G137" s="66"/>
    </row>
    <row r="138" ht="15.75" customHeight="1">
      <c r="A138" s="61">
        <v>46035.0</v>
      </c>
      <c r="B138" s="62" t="s">
        <v>169</v>
      </c>
      <c r="C138" s="63" t="s">
        <v>170</v>
      </c>
      <c r="D138" s="64"/>
      <c r="E138" s="52">
        <v>-5.14</v>
      </c>
      <c r="F138" s="65">
        <v>95.86</v>
      </c>
      <c r="G138" s="66"/>
    </row>
    <row r="139" ht="15.75" customHeight="1">
      <c r="A139" s="61">
        <v>46036.0</v>
      </c>
      <c r="B139" s="62" t="s">
        <v>175</v>
      </c>
      <c r="C139" s="71" t="s">
        <v>176</v>
      </c>
      <c r="D139" s="64">
        <v>173.14</v>
      </c>
      <c r="E139" s="52"/>
      <c r="F139" s="65">
        <v>269.0</v>
      </c>
      <c r="G139" s="66"/>
    </row>
    <row r="140" ht="15.75" customHeight="1">
      <c r="A140" s="61">
        <v>46036.0</v>
      </c>
      <c r="B140" s="62" t="s">
        <v>229</v>
      </c>
      <c r="C140" s="70" t="s">
        <v>167</v>
      </c>
      <c r="D140" s="64"/>
      <c r="E140" s="52">
        <v>-160.0</v>
      </c>
      <c r="F140" s="65">
        <v>1.0</v>
      </c>
      <c r="G140" s="66" t="s">
        <v>174</v>
      </c>
    </row>
    <row r="141" ht="15.75" customHeight="1">
      <c r="A141" s="61">
        <v>46036.0</v>
      </c>
      <c r="B141" s="62" t="s">
        <v>161</v>
      </c>
      <c r="C141" s="63" t="s">
        <v>162</v>
      </c>
      <c r="D141" s="64"/>
      <c r="E141" s="52">
        <v>-108.0</v>
      </c>
      <c r="F141" s="65">
        <v>161.0</v>
      </c>
      <c r="G141" s="66"/>
    </row>
    <row r="142" ht="15.75" customHeight="1">
      <c r="A142" s="61">
        <v>46037.0</v>
      </c>
      <c r="B142" s="62" t="s">
        <v>230</v>
      </c>
      <c r="C142" s="72" t="s">
        <v>212</v>
      </c>
      <c r="D142" s="64"/>
      <c r="E142" s="52">
        <v>-166.98</v>
      </c>
      <c r="F142" s="65">
        <v>1.0</v>
      </c>
      <c r="G142" s="66" t="s">
        <v>231</v>
      </c>
    </row>
    <row r="143" ht="15.75" customHeight="1">
      <c r="A143" s="61">
        <v>46037.0</v>
      </c>
      <c r="B143" s="62" t="s">
        <v>175</v>
      </c>
      <c r="C143" s="71" t="s">
        <v>176</v>
      </c>
      <c r="D143" s="64">
        <v>166.98</v>
      </c>
      <c r="E143" s="52"/>
      <c r="F143" s="65">
        <v>167.98</v>
      </c>
      <c r="G143" s="66"/>
    </row>
    <row r="144" ht="15.75" customHeight="1">
      <c r="A144" s="61">
        <v>46038.0</v>
      </c>
      <c r="B144" s="62" t="s">
        <v>175</v>
      </c>
      <c r="C144" s="71" t="s">
        <v>176</v>
      </c>
      <c r="D144" s="64">
        <v>1623.32</v>
      </c>
      <c r="E144" s="52"/>
      <c r="F144" s="65">
        <v>1624.32</v>
      </c>
      <c r="G144" s="66"/>
    </row>
    <row r="145" ht="15.75" customHeight="1">
      <c r="A145" s="61">
        <v>46038.0</v>
      </c>
      <c r="B145" s="62" t="s">
        <v>232</v>
      </c>
      <c r="C145" s="70" t="s">
        <v>167</v>
      </c>
      <c r="D145" s="64"/>
      <c r="E145" s="52">
        <v>-1621.0</v>
      </c>
      <c r="F145" s="65">
        <v>1.0</v>
      </c>
      <c r="G145" s="66" t="s">
        <v>233</v>
      </c>
    </row>
    <row r="146" ht="15.75" customHeight="1">
      <c r="A146" s="61">
        <v>46038.0</v>
      </c>
      <c r="B146" s="62" t="s">
        <v>169</v>
      </c>
      <c r="C146" s="63" t="s">
        <v>170</v>
      </c>
      <c r="D146" s="64"/>
      <c r="E146" s="52">
        <v>-2.32</v>
      </c>
      <c r="F146" s="65">
        <v>1622.0</v>
      </c>
      <c r="G146" s="66"/>
    </row>
    <row r="147" ht="15.75" customHeight="1">
      <c r="A147" s="61">
        <v>46041.0</v>
      </c>
      <c r="B147" s="62" t="s">
        <v>175</v>
      </c>
      <c r="C147" s="71" t="s">
        <v>176</v>
      </c>
      <c r="D147" s="64">
        <v>9606.8</v>
      </c>
      <c r="E147" s="52"/>
      <c r="F147" s="65">
        <v>9607.8</v>
      </c>
      <c r="G147" s="66"/>
    </row>
    <row r="148" ht="15.75" customHeight="1">
      <c r="A148" s="61">
        <v>46041.0</v>
      </c>
      <c r="B148" s="62" t="s">
        <v>234</v>
      </c>
      <c r="C148" s="70" t="s">
        <v>167</v>
      </c>
      <c r="D148" s="64"/>
      <c r="E148" s="52">
        <v>-9606.8</v>
      </c>
      <c r="F148" s="65">
        <v>1.0</v>
      </c>
      <c r="G148" s="66" t="s">
        <v>219</v>
      </c>
    </row>
    <row r="149" ht="15.75" customHeight="1">
      <c r="A149" s="61">
        <v>46042.0</v>
      </c>
      <c r="B149" s="62" t="s">
        <v>175</v>
      </c>
      <c r="C149" s="71" t="s">
        <v>176</v>
      </c>
      <c r="D149" s="64">
        <v>1701.19</v>
      </c>
      <c r="E149" s="52"/>
      <c r="F149" s="65">
        <v>1702.19</v>
      </c>
      <c r="G149" s="66"/>
    </row>
    <row r="150" ht="15.75" customHeight="1">
      <c r="A150" s="61">
        <v>46042.0</v>
      </c>
      <c r="B150" s="62" t="s">
        <v>235</v>
      </c>
      <c r="C150" s="70" t="s">
        <v>167</v>
      </c>
      <c r="D150" s="64"/>
      <c r="E150" s="52">
        <v>-1691.39</v>
      </c>
      <c r="F150" s="65">
        <v>1.0</v>
      </c>
      <c r="G150" s="66" t="s">
        <v>236</v>
      </c>
    </row>
    <row r="151" ht="15.75" customHeight="1">
      <c r="A151" s="61">
        <v>46042.0</v>
      </c>
      <c r="B151" s="62" t="s">
        <v>169</v>
      </c>
      <c r="C151" s="63" t="s">
        <v>170</v>
      </c>
      <c r="D151" s="64"/>
      <c r="E151" s="52">
        <v>-9.8</v>
      </c>
      <c r="F151" s="65">
        <v>1692.39</v>
      </c>
      <c r="G151" s="66"/>
    </row>
    <row r="152" ht="15.75" customHeight="1">
      <c r="A152" s="61">
        <v>46043.0</v>
      </c>
      <c r="B152" s="62" t="s">
        <v>175</v>
      </c>
      <c r="C152" s="71" t="s">
        <v>176</v>
      </c>
      <c r="D152" s="64">
        <v>100.0</v>
      </c>
      <c r="E152" s="52"/>
      <c r="F152" s="65">
        <v>101.0</v>
      </c>
      <c r="G152" s="66"/>
    </row>
    <row r="153" ht="15.75" customHeight="1">
      <c r="A153" s="61">
        <v>46043.0</v>
      </c>
      <c r="B153" s="62" t="s">
        <v>169</v>
      </c>
      <c r="C153" s="63" t="s">
        <v>170</v>
      </c>
      <c r="D153" s="64"/>
      <c r="E153" s="52">
        <v>-9.8</v>
      </c>
      <c r="F153" s="65">
        <v>91.2</v>
      </c>
      <c r="G153" s="66"/>
    </row>
    <row r="154" ht="15.75" customHeight="1">
      <c r="A154" s="61">
        <v>46044.0</v>
      </c>
      <c r="B154" s="62" t="s">
        <v>169</v>
      </c>
      <c r="C154" s="63" t="s">
        <v>170</v>
      </c>
      <c r="D154" s="64"/>
      <c r="E154" s="52">
        <v>-9.8</v>
      </c>
      <c r="F154" s="65">
        <v>81.4</v>
      </c>
      <c r="G154" s="66"/>
    </row>
    <row r="155" ht="15.75" customHeight="1">
      <c r="A155" s="61">
        <v>46045.0</v>
      </c>
      <c r="B155" s="62" t="s">
        <v>175</v>
      </c>
      <c r="C155" s="71" t="s">
        <v>176</v>
      </c>
      <c r="D155" s="64">
        <v>1345.6</v>
      </c>
      <c r="E155" s="52"/>
      <c r="F155" s="65">
        <v>1427.0</v>
      </c>
      <c r="G155" s="66"/>
    </row>
    <row r="156" ht="15.75" customHeight="1">
      <c r="A156" s="61">
        <v>46045.0</v>
      </c>
      <c r="B156" s="62" t="s">
        <v>237</v>
      </c>
      <c r="C156" s="70" t="s">
        <v>167</v>
      </c>
      <c r="D156" s="64"/>
      <c r="E156" s="52">
        <v>-1426.0</v>
      </c>
      <c r="F156" s="65">
        <v>1.0</v>
      </c>
      <c r="G156" s="66" t="s">
        <v>120</v>
      </c>
    </row>
    <row r="157" ht="15.75" customHeight="1">
      <c r="A157" s="61">
        <v>46048.0</v>
      </c>
      <c r="B157" s="62" t="s">
        <v>175</v>
      </c>
      <c r="C157" s="71" t="s">
        <v>176</v>
      </c>
      <c r="D157" s="64">
        <v>4158.8</v>
      </c>
      <c r="E157" s="52"/>
      <c r="F157" s="65">
        <v>4159.8</v>
      </c>
      <c r="G157" s="66"/>
    </row>
    <row r="158" ht="15.75" customHeight="1">
      <c r="A158" s="61">
        <v>46048.0</v>
      </c>
      <c r="B158" s="62" t="s">
        <v>238</v>
      </c>
      <c r="C158" s="70" t="s">
        <v>167</v>
      </c>
      <c r="D158" s="64"/>
      <c r="E158" s="52">
        <v>-490.0</v>
      </c>
      <c r="F158" s="65">
        <v>3669.8</v>
      </c>
      <c r="G158" s="66" t="s">
        <v>239</v>
      </c>
    </row>
    <row r="159" ht="15.75" customHeight="1">
      <c r="A159" s="61">
        <v>46048.0</v>
      </c>
      <c r="B159" s="62" t="s">
        <v>240</v>
      </c>
      <c r="C159" s="70" t="s">
        <v>167</v>
      </c>
      <c r="D159" s="64"/>
      <c r="E159" s="52">
        <v>-3668.8</v>
      </c>
      <c r="F159" s="65">
        <v>1.0</v>
      </c>
      <c r="G159" s="66" t="s">
        <v>241</v>
      </c>
    </row>
    <row r="160" ht="15.75" customHeight="1">
      <c r="A160" s="61">
        <v>46049.0</v>
      </c>
      <c r="B160" s="62" t="s">
        <v>175</v>
      </c>
      <c r="C160" s="71" t="s">
        <v>176</v>
      </c>
      <c r="D160" s="64">
        <v>799.8</v>
      </c>
      <c r="E160" s="52"/>
      <c r="F160" s="65">
        <v>800.8</v>
      </c>
      <c r="G160" s="66"/>
    </row>
    <row r="161" ht="15.75" customHeight="1">
      <c r="A161" s="61">
        <v>46049.0</v>
      </c>
      <c r="B161" s="62" t="s">
        <v>242</v>
      </c>
      <c r="C161" s="70" t="s">
        <v>167</v>
      </c>
      <c r="D161" s="64"/>
      <c r="E161" s="52">
        <v>-790.0</v>
      </c>
      <c r="F161" s="65">
        <v>1.0</v>
      </c>
      <c r="G161" s="66" t="s">
        <v>194</v>
      </c>
    </row>
    <row r="162" ht="15.75" customHeight="1">
      <c r="A162" s="61">
        <v>46049.0</v>
      </c>
      <c r="B162" s="62" t="s">
        <v>169</v>
      </c>
      <c r="C162" s="63" t="s">
        <v>170</v>
      </c>
      <c r="D162" s="64"/>
      <c r="E162" s="52">
        <v>-9.8</v>
      </c>
      <c r="F162" s="65">
        <v>791.0</v>
      </c>
      <c r="G162" s="66"/>
    </row>
    <row r="163" ht="15.75" customHeight="1">
      <c r="A163" s="61">
        <v>46050.0</v>
      </c>
      <c r="B163" s="62" t="s">
        <v>175</v>
      </c>
      <c r="C163" s="71" t="s">
        <v>176</v>
      </c>
      <c r="D163" s="64">
        <v>2715.9</v>
      </c>
      <c r="E163" s="52"/>
      <c r="F163" s="65">
        <v>2716.9</v>
      </c>
      <c r="G163" s="66"/>
    </row>
    <row r="164" ht="15.75" customHeight="1">
      <c r="A164" s="61">
        <v>46050.0</v>
      </c>
      <c r="B164" s="62" t="s">
        <v>243</v>
      </c>
      <c r="C164" s="70" t="s">
        <v>167</v>
      </c>
      <c r="D164" s="64"/>
      <c r="E164" s="52">
        <v>-160.0</v>
      </c>
      <c r="F164" s="65">
        <v>2540.0</v>
      </c>
      <c r="G164" s="66" t="s">
        <v>174</v>
      </c>
    </row>
    <row r="165" ht="15.75" customHeight="1">
      <c r="A165" s="61">
        <v>46050.0</v>
      </c>
      <c r="B165" s="62" t="s">
        <v>244</v>
      </c>
      <c r="C165" s="70" t="s">
        <v>167</v>
      </c>
      <c r="D165" s="64"/>
      <c r="E165" s="52">
        <v>-2539.0</v>
      </c>
      <c r="F165" s="65">
        <v>1.0</v>
      </c>
      <c r="G165" s="66" t="s">
        <v>245</v>
      </c>
    </row>
    <row r="166" ht="15.75" customHeight="1">
      <c r="A166" s="61">
        <v>46050.0</v>
      </c>
      <c r="B166" s="62" t="s">
        <v>169</v>
      </c>
      <c r="C166" s="63" t="s">
        <v>170</v>
      </c>
      <c r="D166" s="64"/>
      <c r="E166" s="52">
        <v>-7.1</v>
      </c>
      <c r="F166" s="65">
        <v>2709.8</v>
      </c>
      <c r="G166" s="66"/>
    </row>
    <row r="167" ht="15.75" customHeight="1">
      <c r="A167" s="61">
        <v>46050.0</v>
      </c>
      <c r="B167" s="62" t="s">
        <v>169</v>
      </c>
      <c r="C167" s="63" t="s">
        <v>170</v>
      </c>
      <c r="D167" s="64"/>
      <c r="E167" s="52">
        <v>-9.8</v>
      </c>
      <c r="F167" s="65">
        <v>2700.0</v>
      </c>
      <c r="G167" s="66"/>
    </row>
    <row r="168" ht="15.75" customHeight="1">
      <c r="A168" s="61">
        <v>46051.0</v>
      </c>
      <c r="B168" s="62" t="s">
        <v>175</v>
      </c>
      <c r="C168" s="71" t="s">
        <v>176</v>
      </c>
      <c r="D168" s="64">
        <v>9180.8</v>
      </c>
      <c r="E168" s="52"/>
      <c r="F168" s="65">
        <v>9181.8</v>
      </c>
      <c r="G168" s="66"/>
    </row>
    <row r="169" ht="15.75" customHeight="1">
      <c r="A169" s="61">
        <v>46051.0</v>
      </c>
      <c r="B169" s="62" t="s">
        <v>246</v>
      </c>
      <c r="C169" s="70" t="s">
        <v>167</v>
      </c>
      <c r="D169" s="64"/>
      <c r="E169" s="52">
        <v>-9171.0</v>
      </c>
      <c r="F169" s="65">
        <v>1.0</v>
      </c>
      <c r="G169" s="66" t="s">
        <v>247</v>
      </c>
    </row>
    <row r="170" ht="15.75" customHeight="1">
      <c r="A170" s="61">
        <v>46051.0</v>
      </c>
      <c r="B170" s="62" t="s">
        <v>169</v>
      </c>
      <c r="C170" s="63" t="s">
        <v>170</v>
      </c>
      <c r="D170" s="64"/>
      <c r="E170" s="52">
        <v>-9.8</v>
      </c>
      <c r="F170" s="65">
        <v>9172.0</v>
      </c>
      <c r="G170" s="66"/>
    </row>
    <row r="171" ht="15.75" customHeight="1">
      <c r="A171" s="61">
        <v>46052.0</v>
      </c>
      <c r="B171" s="62" t="s">
        <v>175</v>
      </c>
      <c r="C171" s="71" t="s">
        <v>176</v>
      </c>
      <c r="D171" s="64">
        <v>1327.32</v>
      </c>
      <c r="E171" s="52"/>
      <c r="F171" s="65">
        <v>1328.32</v>
      </c>
      <c r="G171" s="66"/>
    </row>
    <row r="172" ht="15.75" customHeight="1">
      <c r="A172" s="61">
        <v>46052.0</v>
      </c>
      <c r="B172" s="62" t="s">
        <v>248</v>
      </c>
      <c r="C172" s="70" t="s">
        <v>167</v>
      </c>
      <c r="D172" s="64"/>
      <c r="E172" s="52">
        <v>-1325.0</v>
      </c>
      <c r="F172" s="65">
        <v>1.0</v>
      </c>
      <c r="G172" s="66" t="s">
        <v>174</v>
      </c>
    </row>
    <row r="173" ht="15.75" customHeight="1">
      <c r="A173" s="61">
        <v>46052.0</v>
      </c>
      <c r="B173" s="62" t="s">
        <v>169</v>
      </c>
      <c r="C173" s="63" t="s">
        <v>170</v>
      </c>
      <c r="D173" s="64"/>
      <c r="E173" s="52">
        <v>-2.32</v>
      </c>
      <c r="F173" s="65">
        <v>1326.0</v>
      </c>
      <c r="G173" s="66"/>
    </row>
    <row r="174" ht="15.75" customHeight="1">
      <c r="A174" s="61">
        <v>46055.0</v>
      </c>
      <c r="B174" s="62" t="s">
        <v>249</v>
      </c>
      <c r="C174" s="72" t="s">
        <v>250</v>
      </c>
      <c r="D174" s="64"/>
      <c r="E174" s="52">
        <v>-364.85</v>
      </c>
      <c r="F174" s="65">
        <v>1.0</v>
      </c>
      <c r="G174" s="66" t="s">
        <v>251</v>
      </c>
    </row>
    <row r="175" ht="15.75" customHeight="1">
      <c r="A175" s="61">
        <v>46055.0</v>
      </c>
      <c r="B175" s="62" t="s">
        <v>175</v>
      </c>
      <c r="C175" s="71" t="s">
        <v>176</v>
      </c>
      <c r="D175" s="64">
        <v>448.45</v>
      </c>
      <c r="E175" s="52"/>
      <c r="F175" s="65">
        <v>449.45</v>
      </c>
      <c r="G175" s="66"/>
    </row>
    <row r="176" ht="15.75" customHeight="1">
      <c r="A176" s="61">
        <v>46055.0</v>
      </c>
      <c r="B176" s="62" t="s">
        <v>156</v>
      </c>
      <c r="C176" s="63" t="s">
        <v>157</v>
      </c>
      <c r="D176" s="64"/>
      <c r="E176" s="52">
        <v>-73.8</v>
      </c>
      <c r="F176" s="65">
        <v>375.65</v>
      </c>
      <c r="G176" s="66"/>
    </row>
    <row r="177" ht="15.75" customHeight="1">
      <c r="A177" s="61">
        <v>46055.0</v>
      </c>
      <c r="B177" s="62" t="s">
        <v>169</v>
      </c>
      <c r="C177" s="63" t="s">
        <v>170</v>
      </c>
      <c r="D177" s="64"/>
      <c r="E177" s="52">
        <v>-9.8</v>
      </c>
      <c r="F177" s="65">
        <v>365.85</v>
      </c>
      <c r="G177" s="66"/>
    </row>
    <row r="178" ht="15.75" customHeight="1">
      <c r="A178" s="61">
        <v>46056.0</v>
      </c>
      <c r="B178" s="62" t="s">
        <v>175</v>
      </c>
      <c r="C178" s="71" t="s">
        <v>176</v>
      </c>
      <c r="D178" s="64">
        <v>100.0</v>
      </c>
      <c r="E178" s="52"/>
      <c r="F178" s="65">
        <v>101.0</v>
      </c>
      <c r="G178" s="66"/>
    </row>
    <row r="179" ht="15.75" customHeight="1">
      <c r="A179" s="61">
        <v>46056.0</v>
      </c>
      <c r="B179" s="62" t="s">
        <v>169</v>
      </c>
      <c r="C179" s="63" t="s">
        <v>170</v>
      </c>
      <c r="D179" s="64"/>
      <c r="E179" s="52">
        <v>-9.8</v>
      </c>
      <c r="F179" s="65">
        <v>91.2</v>
      </c>
      <c r="G179" s="66"/>
    </row>
    <row r="180" ht="15.75" customHeight="1">
      <c r="A180" s="61">
        <v>46059.0</v>
      </c>
      <c r="B180" s="62" t="s">
        <v>175</v>
      </c>
      <c r="C180" s="71" t="s">
        <v>176</v>
      </c>
      <c r="D180" s="64">
        <v>24283.7</v>
      </c>
      <c r="E180" s="52"/>
      <c r="F180" s="65">
        <v>24374.9</v>
      </c>
      <c r="G180" s="66"/>
    </row>
    <row r="181" ht="15.75" customHeight="1">
      <c r="A181" s="61">
        <v>46059.0</v>
      </c>
      <c r="B181" s="62" t="s">
        <v>252</v>
      </c>
      <c r="C181" s="70" t="s">
        <v>167</v>
      </c>
      <c r="D181" s="64"/>
      <c r="E181" s="52">
        <v>-24360.5</v>
      </c>
      <c r="F181" s="65">
        <v>1.0</v>
      </c>
      <c r="G181" s="66" t="s">
        <v>96</v>
      </c>
    </row>
    <row r="182" ht="15.75" customHeight="1">
      <c r="A182" s="61">
        <v>46059.0</v>
      </c>
      <c r="B182" s="62" t="s">
        <v>146</v>
      </c>
      <c r="C182" s="63" t="s">
        <v>147</v>
      </c>
      <c r="D182" s="64"/>
      <c r="E182" s="52">
        <v>-13.4</v>
      </c>
      <c r="F182" s="65">
        <v>24361.5</v>
      </c>
      <c r="G182" s="66"/>
    </row>
    <row r="183" ht="15.75" customHeight="1">
      <c r="A183" s="73">
        <v>46062.0</v>
      </c>
      <c r="B183" s="74" t="s">
        <v>253</v>
      </c>
      <c r="C183" s="75" t="s">
        <v>254</v>
      </c>
      <c r="D183" s="64">
        <v>13000.0</v>
      </c>
      <c r="E183" s="52"/>
      <c r="F183" s="65">
        <v>22725.79</v>
      </c>
      <c r="G183" s="66"/>
    </row>
    <row r="184" ht="15.75" customHeight="1">
      <c r="A184" s="73">
        <v>46062.0</v>
      </c>
      <c r="B184" s="74" t="s">
        <v>255</v>
      </c>
      <c r="C184" s="75" t="s">
        <v>254</v>
      </c>
      <c r="D184" s="64"/>
      <c r="E184" s="52">
        <v>-13000.0</v>
      </c>
      <c r="F184" s="65">
        <v>9725.79</v>
      </c>
      <c r="G184" s="66" t="s">
        <v>256</v>
      </c>
    </row>
    <row r="185" ht="15.75" customHeight="1">
      <c r="A185" s="61">
        <v>46062.0</v>
      </c>
      <c r="B185" s="62" t="s">
        <v>175</v>
      </c>
      <c r="C185" s="71" t="s">
        <v>176</v>
      </c>
      <c r="D185" s="64">
        <v>9724.79</v>
      </c>
      <c r="E185" s="52"/>
      <c r="F185" s="65">
        <v>9725.79</v>
      </c>
      <c r="G185" s="66"/>
    </row>
    <row r="186" ht="15.75" customHeight="1">
      <c r="A186" s="61">
        <v>46062.0</v>
      </c>
      <c r="B186" s="62" t="s">
        <v>255</v>
      </c>
      <c r="C186" s="70" t="s">
        <v>167</v>
      </c>
      <c r="D186" s="64"/>
      <c r="E186" s="52">
        <v>-9724.79</v>
      </c>
      <c r="F186" s="65">
        <v>1.0</v>
      </c>
      <c r="G186" s="66" t="s">
        <v>256</v>
      </c>
    </row>
    <row r="187" ht="15.75" customHeight="1">
      <c r="A187" s="61">
        <v>46063.0</v>
      </c>
      <c r="B187" s="62" t="s">
        <v>175</v>
      </c>
      <c r="C187" s="71" t="s">
        <v>176</v>
      </c>
      <c r="D187" s="64">
        <v>1705.24</v>
      </c>
      <c r="E187" s="52"/>
      <c r="F187" s="65">
        <v>1706.24</v>
      </c>
      <c r="G187" s="66"/>
    </row>
    <row r="188" ht="15.75" customHeight="1">
      <c r="A188" s="61">
        <v>46063.0</v>
      </c>
      <c r="B188" s="62" t="s">
        <v>257</v>
      </c>
      <c r="C188" s="70" t="s">
        <v>167</v>
      </c>
      <c r="D188" s="64"/>
      <c r="E188" s="52">
        <v>-1695.44</v>
      </c>
      <c r="F188" s="65">
        <v>1.0</v>
      </c>
      <c r="G188" s="66" t="s">
        <v>258</v>
      </c>
    </row>
    <row r="189" ht="15.75" customHeight="1">
      <c r="A189" s="61">
        <v>46063.0</v>
      </c>
      <c r="B189" s="62" t="s">
        <v>169</v>
      </c>
      <c r="C189" s="63" t="s">
        <v>170</v>
      </c>
      <c r="D189" s="64"/>
      <c r="E189" s="52">
        <v>-9.8</v>
      </c>
      <c r="F189" s="65">
        <v>1696.44</v>
      </c>
      <c r="G189" s="66"/>
    </row>
    <row r="190" ht="15.75" customHeight="1">
      <c r="A190" s="61">
        <v>46064.0</v>
      </c>
      <c r="B190" s="62" t="s">
        <v>175</v>
      </c>
      <c r="C190" s="71" t="s">
        <v>176</v>
      </c>
      <c r="D190" s="64">
        <v>1659.5</v>
      </c>
      <c r="E190" s="52"/>
      <c r="F190" s="65">
        <v>1660.5</v>
      </c>
      <c r="G190" s="66"/>
    </row>
    <row r="191" ht="15.75" customHeight="1">
      <c r="A191" s="61">
        <v>46064.0</v>
      </c>
      <c r="B191" s="62" t="s">
        <v>259</v>
      </c>
      <c r="C191" s="70" t="s">
        <v>167</v>
      </c>
      <c r="D191" s="64"/>
      <c r="E191" s="52">
        <v>-1639.9</v>
      </c>
      <c r="F191" s="65">
        <v>1.0</v>
      </c>
      <c r="G191" s="66" t="s">
        <v>258</v>
      </c>
    </row>
    <row r="192" ht="15.75" customHeight="1">
      <c r="A192" s="61">
        <v>46064.0</v>
      </c>
      <c r="B192" s="62" t="s">
        <v>169</v>
      </c>
      <c r="C192" s="63" t="s">
        <v>170</v>
      </c>
      <c r="D192" s="64"/>
      <c r="E192" s="52">
        <v>-9.8</v>
      </c>
      <c r="F192" s="65">
        <v>1650.7</v>
      </c>
      <c r="G192" s="66"/>
    </row>
    <row r="193" ht="15.75" customHeight="1">
      <c r="A193" s="61">
        <v>46064.0</v>
      </c>
      <c r="B193" s="62" t="s">
        <v>169</v>
      </c>
      <c r="C193" s="63" t="s">
        <v>170</v>
      </c>
      <c r="D193" s="64"/>
      <c r="E193" s="52">
        <v>-9.8</v>
      </c>
      <c r="F193" s="65">
        <v>1640.9</v>
      </c>
      <c r="G193" s="66"/>
    </row>
    <row r="194" ht="15.75" customHeight="1">
      <c r="A194" s="61">
        <v>46065.0</v>
      </c>
      <c r="B194" s="62" t="s">
        <v>260</v>
      </c>
      <c r="C194" s="72" t="s">
        <v>212</v>
      </c>
      <c r="D194" s="64"/>
      <c r="E194" s="52">
        <v>-3520.5</v>
      </c>
      <c r="F194" s="65">
        <v>1.0</v>
      </c>
      <c r="G194" s="66" t="s">
        <v>231</v>
      </c>
    </row>
    <row r="195" ht="15.75" customHeight="1">
      <c r="A195" s="61">
        <v>46065.0</v>
      </c>
      <c r="B195" s="62" t="s">
        <v>175</v>
      </c>
      <c r="C195" s="71" t="s">
        <v>176</v>
      </c>
      <c r="D195" s="64">
        <v>3530.3</v>
      </c>
      <c r="E195" s="52"/>
      <c r="F195" s="65">
        <v>3531.3</v>
      </c>
      <c r="G195" s="66"/>
    </row>
    <row r="196" ht="15.75" customHeight="1">
      <c r="A196" s="61">
        <v>46065.0</v>
      </c>
      <c r="B196" s="62" t="s">
        <v>169</v>
      </c>
      <c r="C196" s="63" t="s">
        <v>170</v>
      </c>
      <c r="D196" s="64"/>
      <c r="E196" s="52">
        <v>-9.8</v>
      </c>
      <c r="F196" s="65">
        <v>3521.5</v>
      </c>
      <c r="G196" s="66"/>
    </row>
    <row r="197" ht="15.75" customHeight="1">
      <c r="A197" s="61">
        <v>46066.0</v>
      </c>
      <c r="B197" s="62" t="s">
        <v>175</v>
      </c>
      <c r="C197" s="71" t="s">
        <v>176</v>
      </c>
      <c r="D197" s="64">
        <v>100.0</v>
      </c>
      <c r="E197" s="52"/>
      <c r="F197" s="65">
        <v>101.0</v>
      </c>
      <c r="G197" s="66"/>
    </row>
    <row r="198" ht="15.75" customHeight="1">
      <c r="A198" s="61">
        <v>46066.0</v>
      </c>
      <c r="B198" s="62" t="s">
        <v>169</v>
      </c>
      <c r="C198" s="63" t="s">
        <v>170</v>
      </c>
      <c r="D198" s="64"/>
      <c r="E198" s="52">
        <v>-9.8</v>
      </c>
      <c r="F198" s="65">
        <v>91.2</v>
      </c>
      <c r="G198" s="66"/>
    </row>
    <row r="199" ht="15.75" customHeight="1">
      <c r="A199" s="61">
        <v>46072.0</v>
      </c>
      <c r="B199" s="62" t="s">
        <v>261</v>
      </c>
      <c r="C199" s="72" t="s">
        <v>250</v>
      </c>
      <c r="D199" s="64"/>
      <c r="E199" s="52">
        <v>-739.92</v>
      </c>
      <c r="F199" s="65">
        <v>1.01</v>
      </c>
      <c r="G199" s="66" t="s">
        <v>251</v>
      </c>
    </row>
    <row r="200" ht="15.75" customHeight="1">
      <c r="A200" s="61">
        <v>46072.0</v>
      </c>
      <c r="B200" s="62" t="s">
        <v>175</v>
      </c>
      <c r="C200" s="71" t="s">
        <v>176</v>
      </c>
      <c r="D200" s="64">
        <v>649.73</v>
      </c>
      <c r="E200" s="52"/>
      <c r="F200" s="65">
        <v>740.93</v>
      </c>
      <c r="G200" s="66"/>
    </row>
    <row r="201" ht="15.75" customHeight="1">
      <c r="A201" s="61">
        <v>46076.0</v>
      </c>
      <c r="B201" s="62" t="s">
        <v>175</v>
      </c>
      <c r="C201" s="71" t="s">
        <v>176</v>
      </c>
      <c r="D201" s="64">
        <v>4125.19</v>
      </c>
      <c r="E201" s="52"/>
      <c r="F201" s="65">
        <v>4126.2</v>
      </c>
      <c r="G201" s="66"/>
    </row>
    <row r="202" ht="15.75" customHeight="1">
      <c r="A202" s="61">
        <v>46076.0</v>
      </c>
      <c r="B202" s="62" t="s">
        <v>262</v>
      </c>
      <c r="C202" s="70" t="s">
        <v>167</v>
      </c>
      <c r="D202" s="64"/>
      <c r="E202" s="52">
        <v>-4125.2</v>
      </c>
      <c r="F202" s="65">
        <v>1.0</v>
      </c>
      <c r="G202" s="66" t="s">
        <v>107</v>
      </c>
    </row>
    <row r="203" ht="15.75" customHeight="1">
      <c r="A203" s="61">
        <v>46077.0</v>
      </c>
      <c r="B203" s="62" t="s">
        <v>175</v>
      </c>
      <c r="C203" s="71" t="s">
        <v>176</v>
      </c>
      <c r="D203" s="64">
        <v>756.0</v>
      </c>
      <c r="E203" s="52"/>
      <c r="F203" s="65">
        <v>757.0</v>
      </c>
      <c r="G203" s="66"/>
    </row>
    <row r="204" ht="15.75" customHeight="1">
      <c r="A204" s="61">
        <v>46077.0</v>
      </c>
      <c r="B204" s="62" t="s">
        <v>263</v>
      </c>
      <c r="C204" s="70" t="s">
        <v>167</v>
      </c>
      <c r="D204" s="64"/>
      <c r="E204" s="52">
        <v>-596.0</v>
      </c>
      <c r="F204" s="65">
        <v>161.0</v>
      </c>
      <c r="G204" s="66" t="s">
        <v>247</v>
      </c>
    </row>
    <row r="205" ht="15.75" customHeight="1">
      <c r="A205" s="61">
        <v>46077.0</v>
      </c>
      <c r="B205" s="62" t="s">
        <v>264</v>
      </c>
      <c r="C205" s="70" t="s">
        <v>167</v>
      </c>
      <c r="D205" s="64"/>
      <c r="E205" s="52">
        <v>-160.0</v>
      </c>
      <c r="F205" s="65">
        <v>1.0</v>
      </c>
      <c r="G205" s="66" t="s">
        <v>174</v>
      </c>
    </row>
    <row r="206" ht="15.75" customHeight="1">
      <c r="A206" s="61">
        <v>46078.0</v>
      </c>
      <c r="B206" s="62" t="s">
        <v>175</v>
      </c>
      <c r="C206" s="71" t="s">
        <v>176</v>
      </c>
      <c r="D206" s="64">
        <v>100.0</v>
      </c>
      <c r="E206" s="52"/>
      <c r="F206" s="65">
        <v>101.0</v>
      </c>
      <c r="G206" s="66"/>
    </row>
    <row r="207" ht="15.75" customHeight="1">
      <c r="A207" s="61">
        <v>46078.0</v>
      </c>
      <c r="B207" s="62" t="s">
        <v>169</v>
      </c>
      <c r="C207" s="63" t="s">
        <v>170</v>
      </c>
      <c r="D207" s="64"/>
      <c r="E207" s="52">
        <v>-9.8</v>
      </c>
      <c r="F207" s="65">
        <v>91.2</v>
      </c>
      <c r="G207" s="66"/>
    </row>
    <row r="208" ht="15.75" customHeight="1">
      <c r="A208" s="61">
        <v>46079.0</v>
      </c>
      <c r="B208" s="62" t="s">
        <v>169</v>
      </c>
      <c r="C208" s="63" t="s">
        <v>170</v>
      </c>
      <c r="D208" s="64"/>
      <c r="E208" s="52">
        <v>-2.32</v>
      </c>
      <c r="F208" s="65">
        <v>88.88</v>
      </c>
      <c r="G208" s="66"/>
    </row>
    <row r="209" ht="15.75" customHeight="1">
      <c r="A209" s="61">
        <v>46079.0</v>
      </c>
      <c r="B209" s="62" t="s">
        <v>169</v>
      </c>
      <c r="C209" s="63" t="s">
        <v>170</v>
      </c>
      <c r="D209" s="64"/>
      <c r="E209" s="52">
        <v>-8.64</v>
      </c>
      <c r="F209" s="65">
        <v>80.24</v>
      </c>
      <c r="G209" s="66"/>
    </row>
    <row r="210" ht="15.75" customHeight="1">
      <c r="A210" s="61">
        <v>46080.0</v>
      </c>
      <c r="B210" s="62" t="s">
        <v>175</v>
      </c>
      <c r="C210" s="71" t="s">
        <v>176</v>
      </c>
      <c r="D210" s="64">
        <v>381.86</v>
      </c>
      <c r="E210" s="52"/>
      <c r="F210" s="65">
        <v>462.1</v>
      </c>
      <c r="G210" s="66"/>
    </row>
    <row r="211" ht="15.75" customHeight="1">
      <c r="A211" s="61">
        <v>46080.0</v>
      </c>
      <c r="B211" s="62" t="s">
        <v>265</v>
      </c>
      <c r="C211" s="70" t="s">
        <v>167</v>
      </c>
      <c r="D211" s="64"/>
      <c r="E211" s="52">
        <v>-461.1</v>
      </c>
      <c r="F211" s="65">
        <v>1.0</v>
      </c>
      <c r="G211" s="66" t="s">
        <v>266</v>
      </c>
    </row>
    <row r="212" ht="15.75" customHeight="1">
      <c r="A212" s="61">
        <v>46083.0</v>
      </c>
      <c r="B212" s="62" t="s">
        <v>267</v>
      </c>
      <c r="C212" s="72" t="s">
        <v>250</v>
      </c>
      <c r="D212" s="64"/>
      <c r="E212" s="52">
        <v>-79.94</v>
      </c>
      <c r="F212" s="65">
        <v>1.0</v>
      </c>
      <c r="G212" s="66" t="s">
        <v>251</v>
      </c>
    </row>
    <row r="213" ht="15.75" customHeight="1">
      <c r="A213" s="61">
        <v>46083.0</v>
      </c>
      <c r="B213" s="62" t="s">
        <v>175</v>
      </c>
      <c r="C213" s="71" t="s">
        <v>176</v>
      </c>
      <c r="D213" s="64">
        <v>153.74</v>
      </c>
      <c r="E213" s="52"/>
      <c r="F213" s="65">
        <v>154.74</v>
      </c>
      <c r="G213" s="66"/>
    </row>
    <row r="214" ht="15.75" customHeight="1">
      <c r="A214" s="61">
        <v>46083.0</v>
      </c>
      <c r="B214" s="62" t="s">
        <v>156</v>
      </c>
      <c r="C214" s="63" t="s">
        <v>157</v>
      </c>
      <c r="D214" s="64"/>
      <c r="E214" s="52">
        <v>-73.8</v>
      </c>
      <c r="F214" s="65">
        <v>80.94</v>
      </c>
      <c r="G214" s="66"/>
    </row>
    <row r="215" ht="15.75" customHeight="1">
      <c r="A215" s="61">
        <v>46084.0</v>
      </c>
      <c r="B215" s="62" t="s">
        <v>175</v>
      </c>
      <c r="C215" s="71" t="s">
        <v>176</v>
      </c>
      <c r="D215" s="64">
        <v>100.0</v>
      </c>
      <c r="E215" s="52"/>
      <c r="F215" s="65">
        <v>101.0</v>
      </c>
      <c r="G215" s="66"/>
    </row>
    <row r="216" ht="15.75" customHeight="1">
      <c r="A216" s="61">
        <v>46084.0</v>
      </c>
      <c r="B216" s="62" t="s">
        <v>169</v>
      </c>
      <c r="C216" s="63" t="s">
        <v>170</v>
      </c>
      <c r="D216" s="64"/>
      <c r="E216" s="52">
        <v>-6.68</v>
      </c>
      <c r="F216" s="65">
        <v>94.32</v>
      </c>
      <c r="G216" s="66"/>
    </row>
    <row r="217" ht="15.75" customHeight="1">
      <c r="A217" s="61">
        <v>46091.0</v>
      </c>
      <c r="B217" s="62" t="s">
        <v>175</v>
      </c>
      <c r="C217" s="71" t="s">
        <v>176</v>
      </c>
      <c r="D217" s="64">
        <v>616.35</v>
      </c>
      <c r="E217" s="52"/>
      <c r="F217" s="65">
        <v>710.67</v>
      </c>
      <c r="G217" s="66"/>
    </row>
    <row r="218" ht="15.75" customHeight="1">
      <c r="A218" s="61">
        <v>46091.0</v>
      </c>
      <c r="B218" s="62" t="s">
        <v>268</v>
      </c>
      <c r="C218" s="70" t="s">
        <v>167</v>
      </c>
      <c r="D218" s="64"/>
      <c r="E218" s="52">
        <v>-709.68</v>
      </c>
      <c r="F218" s="65">
        <v>1.0</v>
      </c>
      <c r="G218" s="66" t="s">
        <v>174</v>
      </c>
    </row>
    <row r="219" ht="15.75" customHeight="1">
      <c r="A219" s="61">
        <v>46091.0</v>
      </c>
      <c r="B219" s="62" t="s">
        <v>154</v>
      </c>
      <c r="C219" s="68" t="s">
        <v>155</v>
      </c>
      <c r="D219" s="64">
        <v>0.01</v>
      </c>
      <c r="E219" s="52"/>
      <c r="F219" s="65">
        <v>710.68</v>
      </c>
      <c r="G219" s="66"/>
    </row>
    <row r="220" ht="15.75" customHeight="1">
      <c r="A220" s="61">
        <v>46092.0</v>
      </c>
      <c r="B220" s="62" t="s">
        <v>175</v>
      </c>
      <c r="C220" s="71" t="s">
        <v>176</v>
      </c>
      <c r="D220" s="64">
        <v>1949.55</v>
      </c>
      <c r="E220" s="52"/>
      <c r="F220" s="65">
        <v>1950.55</v>
      </c>
      <c r="G220" s="66"/>
    </row>
    <row r="221" ht="15.75" customHeight="1">
      <c r="A221" s="61">
        <v>46092.0</v>
      </c>
      <c r="B221" s="62" t="s">
        <v>269</v>
      </c>
      <c r="C221" s="70" t="s">
        <v>167</v>
      </c>
      <c r="D221" s="64"/>
      <c r="E221" s="76">
        <v>-1594.86</v>
      </c>
      <c r="F221" s="77">
        <v>1.0</v>
      </c>
      <c r="G221" s="78" t="s">
        <v>236</v>
      </c>
    </row>
    <row r="222" ht="15.75" customHeight="1">
      <c r="A222" s="61">
        <v>46092.0</v>
      </c>
      <c r="B222" s="62" t="s">
        <v>270</v>
      </c>
      <c r="C222" s="70" t="s">
        <v>210</v>
      </c>
      <c r="D222" s="64"/>
      <c r="E222" s="52">
        <v>-354.69</v>
      </c>
      <c r="F222" s="65">
        <v>1595.86</v>
      </c>
      <c r="G222" s="66"/>
    </row>
    <row r="223" ht="15.75" customHeight="1">
      <c r="A223" s="61">
        <v>46093.0</v>
      </c>
      <c r="B223" s="62" t="s">
        <v>175</v>
      </c>
      <c r="C223" s="71" t="s">
        <v>176</v>
      </c>
      <c r="D223" s="64">
        <v>100.0</v>
      </c>
      <c r="E223" s="52"/>
      <c r="F223" s="65">
        <v>101.0</v>
      </c>
      <c r="G223" s="66"/>
    </row>
    <row r="224" ht="15.75" customHeight="1">
      <c r="A224" s="61">
        <v>46093.0</v>
      </c>
      <c r="B224" s="62" t="s">
        <v>169</v>
      </c>
      <c r="C224" s="63" t="s">
        <v>170</v>
      </c>
      <c r="D224" s="64"/>
      <c r="E224" s="52">
        <v>-9.8</v>
      </c>
      <c r="F224" s="65">
        <v>91.2</v>
      </c>
      <c r="G224" s="66"/>
    </row>
    <row r="225" ht="15.75" customHeight="1">
      <c r="A225" s="61">
        <v>46094.0</v>
      </c>
      <c r="B225" s="62" t="s">
        <v>271</v>
      </c>
      <c r="C225" s="72" t="s">
        <v>250</v>
      </c>
      <c r="D225" s="64"/>
      <c r="E225" s="52">
        <v>-903.49</v>
      </c>
      <c r="F225" s="65">
        <v>1.0</v>
      </c>
      <c r="G225" s="66" t="s">
        <v>251</v>
      </c>
    </row>
    <row r="226" ht="15.75" customHeight="1">
      <c r="A226" s="61">
        <v>46094.0</v>
      </c>
      <c r="B226" s="62" t="s">
        <v>175</v>
      </c>
      <c r="C226" s="71" t="s">
        <v>176</v>
      </c>
      <c r="D226" s="64">
        <v>813.29</v>
      </c>
      <c r="E226" s="52"/>
      <c r="F226" s="65">
        <v>904.49</v>
      </c>
      <c r="G226" s="66"/>
    </row>
    <row r="227" ht="15.75" customHeight="1">
      <c r="A227" s="61">
        <v>46097.0</v>
      </c>
      <c r="B227" s="62" t="s">
        <v>272</v>
      </c>
      <c r="C227" s="72" t="s">
        <v>212</v>
      </c>
      <c r="D227" s="64"/>
      <c r="E227" s="52">
        <v>-178.31</v>
      </c>
      <c r="F227" s="65">
        <v>1.0</v>
      </c>
      <c r="G227" s="66" t="s">
        <v>231</v>
      </c>
    </row>
    <row r="228" ht="15.75" customHeight="1">
      <c r="A228" s="61">
        <v>46097.0</v>
      </c>
      <c r="B228" s="62" t="s">
        <v>175</v>
      </c>
      <c r="C228" s="71" t="s">
        <v>176</v>
      </c>
      <c r="D228" s="64">
        <v>925.31</v>
      </c>
      <c r="E228" s="52"/>
      <c r="F228" s="65">
        <v>926.31</v>
      </c>
      <c r="G228" s="66"/>
    </row>
    <row r="229" ht="15.75" customHeight="1">
      <c r="A229" s="61">
        <v>46097.0</v>
      </c>
      <c r="B229" s="62" t="s">
        <v>273</v>
      </c>
      <c r="C229" s="70" t="s">
        <v>167</v>
      </c>
      <c r="D229" s="64"/>
      <c r="E229" s="52">
        <v>-747.0</v>
      </c>
      <c r="F229" s="65">
        <v>179.31</v>
      </c>
      <c r="G229" s="66" t="s">
        <v>122</v>
      </c>
    </row>
    <row r="230" ht="15.75" customHeight="1">
      <c r="A230" s="61">
        <v>46098.0</v>
      </c>
      <c r="B230" s="62" t="s">
        <v>175</v>
      </c>
      <c r="C230" s="71" t="s">
        <v>176</v>
      </c>
      <c r="D230" s="64">
        <v>4158.0</v>
      </c>
      <c r="E230" s="52"/>
      <c r="F230" s="65">
        <v>4159.0</v>
      </c>
      <c r="G230" s="66"/>
    </row>
    <row r="231" ht="15.75" customHeight="1">
      <c r="A231" s="61">
        <v>46098.0</v>
      </c>
      <c r="B231" s="62" t="s">
        <v>274</v>
      </c>
      <c r="C231" s="70" t="s">
        <v>167</v>
      </c>
      <c r="D231" s="64"/>
      <c r="E231" s="52">
        <v>-4050.0</v>
      </c>
      <c r="F231" s="65">
        <v>1.0</v>
      </c>
      <c r="G231" s="66" t="s">
        <v>208</v>
      </c>
    </row>
    <row r="232" ht="15.75" customHeight="1">
      <c r="A232" s="61">
        <v>46098.0</v>
      </c>
      <c r="B232" s="62" t="s">
        <v>161</v>
      </c>
      <c r="C232" s="63" t="s">
        <v>162</v>
      </c>
      <c r="D232" s="64"/>
      <c r="E232" s="52">
        <v>-108.0</v>
      </c>
      <c r="F232" s="65">
        <v>4051.0</v>
      </c>
      <c r="G232" s="66"/>
    </row>
    <row r="233" ht="15.75" customHeight="1">
      <c r="A233" s="61">
        <v>46099.0</v>
      </c>
      <c r="B233" s="62" t="s">
        <v>175</v>
      </c>
      <c r="C233" s="71" t="s">
        <v>176</v>
      </c>
      <c r="D233" s="64">
        <v>100.0</v>
      </c>
      <c r="E233" s="52"/>
      <c r="F233" s="65">
        <v>101.0</v>
      </c>
      <c r="G233" s="66"/>
    </row>
    <row r="234" ht="15.75" customHeight="1">
      <c r="A234" s="61">
        <v>46099.0</v>
      </c>
      <c r="B234" s="62" t="s">
        <v>169</v>
      </c>
      <c r="C234" s="63" t="s">
        <v>170</v>
      </c>
      <c r="D234" s="64"/>
      <c r="E234" s="52">
        <v>-9.8</v>
      </c>
      <c r="F234" s="65">
        <v>91.2</v>
      </c>
      <c r="G234" s="66"/>
    </row>
    <row r="235" ht="15.75" customHeight="1">
      <c r="A235" s="61">
        <v>46101.0</v>
      </c>
      <c r="B235" s="62" t="s">
        <v>169</v>
      </c>
      <c r="C235" s="63" t="s">
        <v>170</v>
      </c>
      <c r="D235" s="64"/>
      <c r="E235" s="52">
        <v>-9.8</v>
      </c>
      <c r="F235" s="65">
        <v>81.4</v>
      </c>
      <c r="G235" s="66"/>
    </row>
    <row r="236" ht="15.75" customHeight="1">
      <c r="A236" s="61">
        <v>46104.0</v>
      </c>
      <c r="B236" s="62" t="s">
        <v>175</v>
      </c>
      <c r="C236" s="71" t="s">
        <v>176</v>
      </c>
      <c r="D236" s="64">
        <v>2409.6</v>
      </c>
      <c r="E236" s="52"/>
      <c r="F236" s="65">
        <v>2491.0</v>
      </c>
      <c r="G236" s="66"/>
    </row>
    <row r="237" ht="15.75" customHeight="1">
      <c r="A237" s="61">
        <v>46104.0</v>
      </c>
      <c r="B237" s="62" t="s">
        <v>275</v>
      </c>
      <c r="C237" s="70" t="s">
        <v>167</v>
      </c>
      <c r="D237" s="64"/>
      <c r="E237" s="52">
        <v>-2490.0</v>
      </c>
      <c r="F237" s="65">
        <v>1.0</v>
      </c>
      <c r="G237" s="66" t="s">
        <v>276</v>
      </c>
    </row>
    <row r="238" ht="15.75" customHeight="1">
      <c r="A238" s="61">
        <v>46107.0</v>
      </c>
      <c r="B238" s="62" t="s">
        <v>175</v>
      </c>
      <c r="C238" s="71" t="s">
        <v>176</v>
      </c>
      <c r="D238" s="64">
        <v>2410.48</v>
      </c>
      <c r="E238" s="52"/>
      <c r="F238" s="65">
        <v>2411.48</v>
      </c>
      <c r="G238" s="66"/>
    </row>
    <row r="239" ht="15.75" customHeight="1">
      <c r="A239" s="61">
        <v>46107.0</v>
      </c>
      <c r="B239" s="62" t="s">
        <v>277</v>
      </c>
      <c r="C239" s="70" t="s">
        <v>167</v>
      </c>
      <c r="D239" s="64"/>
      <c r="E239" s="52">
        <v>-2400.68</v>
      </c>
      <c r="F239" s="65">
        <v>1.0</v>
      </c>
      <c r="G239" s="66" t="s">
        <v>168</v>
      </c>
    </row>
    <row r="240" ht="15.75" customHeight="1">
      <c r="A240" s="61">
        <v>46107.0</v>
      </c>
      <c r="B240" s="62" t="s">
        <v>169</v>
      </c>
      <c r="C240" s="63" t="s">
        <v>170</v>
      </c>
      <c r="D240" s="64"/>
      <c r="E240" s="52">
        <v>-9.8</v>
      </c>
      <c r="F240" s="65">
        <v>2401.68</v>
      </c>
      <c r="G240" s="66"/>
    </row>
    <row r="241" ht="15.75" customHeight="1">
      <c r="A241" s="61">
        <v>46111.0</v>
      </c>
      <c r="B241" s="62" t="s">
        <v>175</v>
      </c>
      <c r="C241" s="71" t="s">
        <v>176</v>
      </c>
      <c r="D241" s="64">
        <v>4009.8</v>
      </c>
      <c r="E241" s="52"/>
      <c r="F241" s="65">
        <v>4010.8</v>
      </c>
      <c r="G241" s="66"/>
    </row>
    <row r="242" ht="15.75" customHeight="1">
      <c r="A242" s="61">
        <v>46111.0</v>
      </c>
      <c r="B242" s="62" t="s">
        <v>278</v>
      </c>
      <c r="C242" s="70" t="s">
        <v>167</v>
      </c>
      <c r="D242" s="64"/>
      <c r="E242" s="52">
        <v>-4000.0</v>
      </c>
      <c r="F242" s="65">
        <v>1.0</v>
      </c>
      <c r="G242" s="66" t="s">
        <v>258</v>
      </c>
    </row>
    <row r="243" ht="15.75" customHeight="1">
      <c r="A243" s="61">
        <v>46111.0</v>
      </c>
      <c r="B243" s="62" t="s">
        <v>169</v>
      </c>
      <c r="C243" s="63" t="s">
        <v>170</v>
      </c>
      <c r="D243" s="64"/>
      <c r="E243" s="52">
        <v>-9.8</v>
      </c>
      <c r="F243" s="65">
        <v>4001.0</v>
      </c>
      <c r="G243" s="66"/>
    </row>
    <row r="244" ht="15.75" customHeight="1">
      <c r="A244" s="61">
        <v>46113.0</v>
      </c>
      <c r="B244" s="62" t="s">
        <v>175</v>
      </c>
      <c r="C244" s="71" t="s">
        <v>176</v>
      </c>
      <c r="D244" s="64">
        <v>100.0</v>
      </c>
      <c r="E244" s="52"/>
      <c r="F244" s="65">
        <v>101.0</v>
      </c>
      <c r="G244" s="66"/>
    </row>
    <row r="245" ht="15.75" customHeight="1">
      <c r="A245" s="61">
        <v>46113.0</v>
      </c>
      <c r="B245" s="62" t="s">
        <v>156</v>
      </c>
      <c r="C245" s="63" t="s">
        <v>157</v>
      </c>
      <c r="D245" s="64"/>
      <c r="E245" s="52">
        <v>-73.8</v>
      </c>
      <c r="F245" s="65">
        <v>27.2</v>
      </c>
      <c r="G245" s="66"/>
    </row>
    <row r="246" ht="15.75" customHeight="1">
      <c r="A246" s="61">
        <v>46113.0</v>
      </c>
      <c r="B246" s="62" t="s">
        <v>169</v>
      </c>
      <c r="C246" s="63" t="s">
        <v>170</v>
      </c>
      <c r="D246" s="64"/>
      <c r="E246" s="52">
        <v>-9.8</v>
      </c>
      <c r="F246" s="65">
        <v>17.4</v>
      </c>
      <c r="G246" s="66"/>
    </row>
    <row r="247" ht="15.75" customHeight="1">
      <c r="A247" s="61">
        <v>46114.0</v>
      </c>
      <c r="B247" s="62" t="s">
        <v>279</v>
      </c>
      <c r="C247" s="71" t="s">
        <v>176</v>
      </c>
      <c r="D247" s="64">
        <v>2683.6</v>
      </c>
      <c r="E247" s="52"/>
      <c r="F247" s="65">
        <v>2701.0</v>
      </c>
      <c r="G247" s="66"/>
    </row>
    <row r="248" ht="15.75" customHeight="1">
      <c r="A248" s="61">
        <v>46114.0</v>
      </c>
      <c r="B248" s="62" t="s">
        <v>280</v>
      </c>
      <c r="C248" s="70" t="s">
        <v>167</v>
      </c>
      <c r="D248" s="64"/>
      <c r="E248" s="52">
        <v>-2700.0</v>
      </c>
      <c r="F248" s="65">
        <v>1.0</v>
      </c>
      <c r="G248" s="66" t="s">
        <v>281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custom" allowBlank="1" showDropDown="1" sqref="A4:A248">
      <formula1>OR(NOT(ISERROR(DATEVALUE(A4))), AND(ISNUMBER(A4), LEFT(CELL("format", A4))="D"))</formula1>
    </dataValidation>
    <dataValidation type="custom" allowBlank="1" showDropDown="1" sqref="D4:F248">
      <formula1>AND(ISNUMBER(D4),(NOT(OR(NOT(ISERROR(DATEVALUE(D4))), AND(ISNUMBER(D4), LEFT(CELL("format", D4))="D")))))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2026-04-04T13:27:50Z</dcterms:created>
  <dc:creator>openpyxl</dc:creator>
</cp:coreProperties>
</file>